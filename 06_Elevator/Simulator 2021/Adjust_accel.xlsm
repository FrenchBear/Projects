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GitHub\Projects\11 Elevator\Python 2021\"/>
    </mc:Choice>
  </mc:AlternateContent>
  <xr:revisionPtr revIDLastSave="0" documentId="8_{F02B4B2E-F848-4E67-B562-867A3E24D3A8}" xr6:coauthVersionLast="46" xr6:coauthVersionMax="46" xr10:uidLastSave="{00000000-0000-0000-0000-000000000000}"/>
  <bookViews>
    <workbookView xWindow="-98" yWindow="-98" windowWidth="21271" windowHeight="13695" xr2:uid="{F9CEC25F-01CC-424A-A0BB-9A3AE9CCB6A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20" i="1"/>
  <c r="B20" i="1"/>
  <c r="B19" i="1"/>
  <c r="C15" i="1"/>
  <c r="C16" i="1"/>
  <c r="B15" i="1"/>
  <c r="B16" i="1"/>
  <c r="B21" i="1" l="1"/>
  <c r="C21" i="1"/>
  <c r="C17" i="1"/>
  <c r="B17" i="1"/>
  <c r="C7" i="1"/>
  <c r="C8" i="1" s="1"/>
  <c r="B7" i="1"/>
  <c r="B8" i="1" s="1"/>
  <c r="C9" i="1" l="1"/>
  <c r="C10" i="1" s="1"/>
  <c r="C11" i="1" s="1"/>
  <c r="B9" i="1"/>
  <c r="B10" i="1" l="1"/>
  <c r="B11" i="1" s="1"/>
</calcChain>
</file>

<file path=xl/sharedStrings.xml><?xml version="1.0" encoding="utf-8"?>
<sst xmlns="http://schemas.openxmlformats.org/spreadsheetml/2006/main" count="17" uniqueCount="16">
  <si>
    <t>t to target speed</t>
  </si>
  <si>
    <t>dist at target speed</t>
  </si>
  <si>
    <t>t rounded</t>
  </si>
  <si>
    <t>dist round time</t>
  </si>
  <si>
    <t>total dist at round time</t>
  </si>
  <si>
    <t>self_start_dist </t>
  </si>
  <si>
    <t>self_start_speed </t>
  </si>
  <si>
    <t>self_target_speed </t>
  </si>
  <si>
    <t>self_t </t>
  </si>
  <si>
    <t>self_accel </t>
  </si>
  <si>
    <t>self_actor_speed</t>
  </si>
  <si>
    <t>A&gt;B</t>
  </si>
  <si>
    <t>A:math.copysign(self_actor_speed, self_accel)</t>
  </si>
  <si>
    <t>B:math.copysign(self_target_speed, self_accel)</t>
  </si>
  <si>
    <t>A:self_actor_speed*Sign(self.accel)</t>
  </si>
  <si>
    <t>B:self_target_speed*Sign(self.accel)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</si>
</sst>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56DD-438C-4E15-A499-259192125B64}">
  <sheetPr codeName="Sheet1"/>
  <dimension ref="A1:C21"/>
  <sheetViews>
    <sheetView tabSelected="1" workbookViewId="0">
      <selection activeCell="C21" sqref="C21"/>
    </sheetView>
  </sheetViews>
  <sheetFormatPr defaultRowHeight="14.25" x14ac:dyDescent="0.45"/>
  <cols>
    <col min="1" max="1" width="36.265625" bestFit="1" customWidth="1"/>
  </cols>
  <sheetData>
    <row r="1" spans="1:3" x14ac:dyDescent="0.45">
      <c r="A1" t="s">
        <v>5</v>
      </c>
      <c r="B1">
        <v>0</v>
      </c>
      <c r="C1">
        <v>0</v>
      </c>
    </row>
    <row r="2" spans="1:3" x14ac:dyDescent="0.45">
      <c r="A2" t="s">
        <v>6</v>
      </c>
      <c r="B2">
        <v>0</v>
      </c>
      <c r="C2">
        <v>9.5</v>
      </c>
    </row>
    <row r="3" spans="1:3" x14ac:dyDescent="0.45">
      <c r="A3" t="s">
        <v>7</v>
      </c>
      <c r="B3">
        <v>9.5</v>
      </c>
      <c r="C3">
        <v>0</v>
      </c>
    </row>
    <row r="4" spans="1:3" x14ac:dyDescent="0.45">
      <c r="A4" t="s">
        <v>8</v>
      </c>
      <c r="B4">
        <v>10</v>
      </c>
      <c r="C4">
        <v>10</v>
      </c>
    </row>
    <row r="5" spans="1:3" x14ac:dyDescent="0.45">
      <c r="A5" t="s">
        <v>9</v>
      </c>
      <c r="B5">
        <v>1</v>
      </c>
      <c r="C5">
        <v>-1</v>
      </c>
    </row>
    <row r="7" spans="1:3" x14ac:dyDescent="0.45">
      <c r="A7" t="s">
        <v>0</v>
      </c>
      <c r="B7">
        <f>(B3-B2)/B5</f>
        <v>9.5</v>
      </c>
      <c r="C7">
        <f>(C3-C2)/C5</f>
        <v>9.5</v>
      </c>
    </row>
    <row r="8" spans="1:3" x14ac:dyDescent="0.45">
      <c r="A8" t="s">
        <v>1</v>
      </c>
      <c r="B8">
        <f>0.5*B5*B7^2</f>
        <v>45.125</v>
      </c>
      <c r="C8">
        <f>ABS(0.5*C5*C7^2)</f>
        <v>45.125</v>
      </c>
    </row>
    <row r="9" spans="1:3" x14ac:dyDescent="0.45">
      <c r="A9" t="s">
        <v>2</v>
      </c>
      <c r="B9">
        <f>_xlfn.CEILING.MATH(B7)</f>
        <v>10</v>
      </c>
      <c r="C9">
        <f>_xlfn.CEILING.MATH(C7)</f>
        <v>10</v>
      </c>
    </row>
    <row r="10" spans="1:3" x14ac:dyDescent="0.45">
      <c r="A10" t="s">
        <v>3</v>
      </c>
      <c r="B10">
        <f>(B9-B7)*B3</f>
        <v>4.75</v>
      </c>
      <c r="C10">
        <f>(C9-C7)*C3</f>
        <v>0</v>
      </c>
    </row>
    <row r="11" spans="1:3" x14ac:dyDescent="0.45">
      <c r="A11" t="s">
        <v>4</v>
      </c>
      <c r="B11">
        <f>B8+B10</f>
        <v>49.875</v>
      </c>
      <c r="C11">
        <f>C8+C10</f>
        <v>45.125</v>
      </c>
    </row>
    <row r="13" spans="1:3" x14ac:dyDescent="0.45">
      <c r="A13" t="s">
        <v>10</v>
      </c>
      <c r="B13">
        <v>10</v>
      </c>
      <c r="C13">
        <v>-0.5</v>
      </c>
    </row>
    <row r="15" spans="1:3" x14ac:dyDescent="0.45">
      <c r="A15" t="s">
        <v>12</v>
      </c>
      <c r="B15">
        <f>copysign(B13,B5)</f>
        <v>10</v>
      </c>
      <c r="C15">
        <f>copysign(C13,C5)</f>
        <v>-0.5</v>
      </c>
    </row>
    <row r="16" spans="1:3" x14ac:dyDescent="0.45">
      <c r="A16" t="s">
        <v>13</v>
      </c>
      <c r="B16">
        <f>copysign(B3,B5)</f>
        <v>9.5</v>
      </c>
      <c r="C16">
        <f>copysign(C3,C5)</f>
        <v>0</v>
      </c>
    </row>
    <row r="17" spans="1:3" x14ac:dyDescent="0.45">
      <c r="A17" t="s">
        <v>11</v>
      </c>
      <c r="B17" t="b">
        <f>B15&gt;B16</f>
        <v>1</v>
      </c>
      <c r="C17" t="b">
        <f>C15&gt;C16</f>
        <v>0</v>
      </c>
    </row>
    <row r="19" spans="1:3" x14ac:dyDescent="0.45">
      <c r="A19" t="s">
        <v>14</v>
      </c>
      <c r="B19">
        <f>B13*SIGN(B5)</f>
        <v>10</v>
      </c>
      <c r="C19">
        <f>C13*SIGN(C5)</f>
        <v>0.5</v>
      </c>
    </row>
    <row r="20" spans="1:3" x14ac:dyDescent="0.45">
      <c r="A20" t="s">
        <v>15</v>
      </c>
      <c r="B20">
        <f>B3*SIGN(B5)</f>
        <v>9.5</v>
      </c>
      <c r="C20">
        <f>C3*SIGN(C5)</f>
        <v>0</v>
      </c>
    </row>
    <row r="21" spans="1:3" x14ac:dyDescent="0.45">
      <c r="A21" t="s">
        <v>11</v>
      </c>
      <c r="B21" t="b">
        <f>B19&gt;B20</f>
        <v>1</v>
      </c>
      <c r="C21" t="b">
        <f>C19&gt;C20</f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2021-04-10T23:48:33Z</dcterms:created>
  <dcterms:modified xsi:type="dcterms:W3CDTF">2021-04-11T00:18:40Z</dcterms:modified>
</cp:coreProperties>
</file>