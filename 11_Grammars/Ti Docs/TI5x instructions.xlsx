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GitHub\Projects\11_TI5x\"/>
    </mc:Choice>
  </mc:AlternateContent>
  <xr:revisionPtr revIDLastSave="0" documentId="13_ncr:1_{33338BEB-376E-4239-98ED-86CD3BD86762}" xr6:coauthVersionLast="47" xr6:coauthVersionMax="47" xr10:uidLastSave="{00000000-0000-0000-0000-000000000000}"/>
  <bookViews>
    <workbookView xWindow="30675" yWindow="7020" windowWidth="24645" windowHeight="23520" xr2:uid="{874B4454-468C-42B1-9C93-511E4410BC3F}"/>
  </bookViews>
  <sheets>
    <sheet name="Instructions table" sheetId="1" r:id="rId1"/>
    <sheet name="TC Count per Syntax" sheetId="2" r:id="rId2"/>
  </sheets>
  <definedNames>
    <definedName name="_xlnm._FilterDatabase" localSheetId="0" hidden="1">'Instructions table'!$A$1:$F$101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14" i="1"/>
  <c r="A15" i="1"/>
  <c r="A16" i="1"/>
  <c r="A17" i="1"/>
  <c r="A18" i="1"/>
  <c r="A19" i="1"/>
  <c r="A20" i="1"/>
  <c r="A21" i="1"/>
  <c r="A12" i="1"/>
  <c r="A23" i="1"/>
  <c r="A24" i="1"/>
  <c r="A25" i="1"/>
  <c r="A26" i="1"/>
  <c r="A27" i="1"/>
  <c r="A28" i="1"/>
  <c r="A29" i="1"/>
  <c r="A30" i="1"/>
  <c r="A31" i="1"/>
  <c r="A22" i="1"/>
  <c r="A33" i="1"/>
  <c r="A34" i="1"/>
  <c r="A35" i="1"/>
  <c r="A36" i="1"/>
  <c r="A37" i="1"/>
  <c r="A38" i="1"/>
  <c r="A39" i="1"/>
  <c r="A40" i="1"/>
  <c r="A41" i="1"/>
  <c r="A32" i="1"/>
  <c r="A43" i="1"/>
  <c r="A44" i="1"/>
  <c r="A45" i="1"/>
  <c r="A46" i="1"/>
  <c r="A47" i="1"/>
  <c r="A48" i="1"/>
  <c r="A49" i="1"/>
  <c r="A50" i="1"/>
  <c r="A51" i="1"/>
  <c r="A42" i="1"/>
  <c r="A53" i="1"/>
  <c r="A54" i="1"/>
  <c r="A55" i="1"/>
  <c r="A56" i="1"/>
  <c r="A57" i="1"/>
  <c r="A58" i="1"/>
  <c r="A59" i="1"/>
  <c r="A60" i="1"/>
  <c r="A61" i="1"/>
  <c r="A52" i="1"/>
  <c r="A63" i="1"/>
  <c r="A64" i="1"/>
  <c r="A65" i="1"/>
  <c r="A66" i="1"/>
  <c r="A67" i="1"/>
  <c r="A68" i="1"/>
  <c r="A69" i="1"/>
  <c r="A70" i="1"/>
  <c r="A71" i="1"/>
  <c r="A62" i="1"/>
  <c r="A73" i="1"/>
  <c r="A74" i="1"/>
  <c r="A75" i="1"/>
  <c r="A76" i="1"/>
  <c r="A77" i="1"/>
  <c r="A78" i="1"/>
  <c r="A79" i="1"/>
  <c r="A80" i="1"/>
  <c r="A81" i="1"/>
  <c r="A72" i="1"/>
  <c r="A83" i="1"/>
  <c r="A84" i="1"/>
  <c r="A85" i="1"/>
  <c r="A86" i="1"/>
  <c r="A87" i="1"/>
  <c r="A88" i="1"/>
  <c r="A89" i="1"/>
  <c r="A90" i="1"/>
  <c r="A91" i="1"/>
  <c r="A82" i="1"/>
  <c r="A93" i="1"/>
  <c r="A94" i="1"/>
  <c r="A95" i="1"/>
  <c r="A96" i="1"/>
  <c r="A97" i="1"/>
  <c r="A98" i="1"/>
  <c r="A99" i="1"/>
  <c r="A100" i="1"/>
  <c r="A101" i="1"/>
  <c r="A92" i="1"/>
</calcChain>
</file>

<file path=xl/sharedStrings.xml><?xml version="1.0" encoding="utf-8"?>
<sst xmlns="http://schemas.openxmlformats.org/spreadsheetml/2006/main" count="357" uniqueCount="216">
  <si>
    <t>I11_a</t>
  </si>
  <si>
    <t>I12_b</t>
  </si>
  <si>
    <t>I13_c</t>
  </si>
  <si>
    <t>I14_d</t>
  </si>
  <si>
    <t>I15_e</t>
  </si>
  <si>
    <t>I16_a_prime</t>
  </si>
  <si>
    <t>I17_b_prime</t>
  </si>
  <si>
    <t>I18_c_prime</t>
  </si>
  <si>
    <t>I19_d_prime</t>
  </si>
  <si>
    <t>I10_e_prime</t>
  </si>
  <si>
    <t>I21_2nd</t>
  </si>
  <si>
    <t>I22_invert</t>
  </si>
  <si>
    <t>I23_ln</t>
  </si>
  <si>
    <t>I24_correct_entry</t>
  </si>
  <si>
    <t>I25_clear</t>
  </si>
  <si>
    <t>I26_2nd_2nd</t>
  </si>
  <si>
    <t>I27_2nd_invert</t>
  </si>
  <si>
    <t>I28_log</t>
  </si>
  <si>
    <t>I29_clear_program</t>
  </si>
  <si>
    <t>I20_2nd_clear</t>
  </si>
  <si>
    <t>I31_learn</t>
  </si>
  <si>
    <t>I32_exchange_x_and_t</t>
  </si>
  <si>
    <t>I33_square</t>
  </si>
  <si>
    <t>I34_square_root</t>
  </si>
  <si>
    <t>I35_reciprocal</t>
  </si>
  <si>
    <t>I36_program</t>
  </si>
  <si>
    <t>I37_polar_to_rectangular</t>
  </si>
  <si>
    <t>I38_sin</t>
  </si>
  <si>
    <t>I39_cos</t>
  </si>
  <si>
    <t>I30_tan</t>
  </si>
  <si>
    <t>I41_single_step</t>
  </si>
  <si>
    <t>I42_store</t>
  </si>
  <si>
    <t>I43_recall</t>
  </si>
  <si>
    <t>I44_sum</t>
  </si>
  <si>
    <t>I45_power</t>
  </si>
  <si>
    <t>I46_insert</t>
  </si>
  <si>
    <t>I47_clear_memory</t>
  </si>
  <si>
    <t>I48_exchange</t>
  </si>
  <si>
    <t>I49_product</t>
  </si>
  <si>
    <t>I40_indirect</t>
  </si>
  <si>
    <t>I51_backstep</t>
  </si>
  <si>
    <t>I52_exponent</t>
  </si>
  <si>
    <t>I53_left_parenthesis</t>
  </si>
  <si>
    <t>I54_right_parenthesis</t>
  </si>
  <si>
    <t>I55_divide</t>
  </si>
  <si>
    <t>I56_delete</t>
  </si>
  <si>
    <t>I57_engineering</t>
  </si>
  <si>
    <t>I58_fix</t>
  </si>
  <si>
    <t>I59_integer</t>
  </si>
  <si>
    <t>I50_absolute</t>
  </si>
  <si>
    <t>I61_goto</t>
  </si>
  <si>
    <t>I62_program_indirect</t>
  </si>
  <si>
    <t>I63_exchange_indirect</t>
  </si>
  <si>
    <t>I64_product_indirect</t>
  </si>
  <si>
    <t>I65_multiply</t>
  </si>
  <si>
    <t>I66_pause</t>
  </si>
  <si>
    <t>I67_x_equals_t</t>
  </si>
  <si>
    <t>I68_nop</t>
  </si>
  <si>
    <t>I69_operation</t>
  </si>
  <si>
    <t>I60_degrees</t>
  </si>
  <si>
    <t>I71_subroutine</t>
  </si>
  <si>
    <t>I72_store_indirect</t>
  </si>
  <si>
    <t>I73_recall_indirect</t>
  </si>
  <si>
    <t>I74_sum_indirect</t>
  </si>
  <si>
    <t>I75_subtract</t>
  </si>
  <si>
    <t>I76_label</t>
  </si>
  <si>
    <t>I77_x_greater_or_equal_than_t</t>
  </si>
  <si>
    <t>I78_sigma_plus</t>
  </si>
  <si>
    <t>I79_average</t>
  </si>
  <si>
    <t>I70_radians</t>
  </si>
  <si>
    <t>I81_reset</t>
  </si>
  <si>
    <t>I82_hir</t>
  </si>
  <si>
    <t>I83_goto_indirect</t>
  </si>
  <si>
    <t>I84_operation_indirect</t>
  </si>
  <si>
    <t>I85_add</t>
  </si>
  <si>
    <t>I86_set_flag</t>
  </si>
  <si>
    <t>I87_if_flag</t>
  </si>
  <si>
    <t>I88_dms</t>
  </si>
  <si>
    <t>I89_pi</t>
  </si>
  <si>
    <t>I80_grades</t>
  </si>
  <si>
    <t>I91_run_stop</t>
  </si>
  <si>
    <t>I92_return</t>
  </si>
  <si>
    <t>I93_dot</t>
  </si>
  <si>
    <t>I94_change_sign</t>
  </si>
  <si>
    <t>I95_equals</t>
  </si>
  <si>
    <t>I96_write</t>
  </si>
  <si>
    <t>I97_dsz</t>
  </si>
  <si>
    <t>I98_advance</t>
  </si>
  <si>
    <t>I99_print</t>
  </si>
  <si>
    <t>I90_list</t>
  </si>
  <si>
    <t>OpCode</t>
  </si>
  <si>
    <t>Lexer</t>
  </si>
  <si>
    <t>Mnemonics</t>
  </si>
  <si>
    <t>E'</t>
  </si>
  <si>
    <t>A</t>
  </si>
  <si>
    <t>B</t>
  </si>
  <si>
    <t>C</t>
  </si>
  <si>
    <t>D</t>
  </si>
  <si>
    <t>E</t>
  </si>
  <si>
    <t>A'</t>
  </si>
  <si>
    <t>B'</t>
  </si>
  <si>
    <t>C'</t>
  </si>
  <si>
    <t>D'</t>
  </si>
  <si>
    <t>CLR'</t>
  </si>
  <si>
    <t>2nd</t>
  </si>
  <si>
    <t>INV</t>
  </si>
  <si>
    <t>lnx</t>
  </si>
  <si>
    <t>CE</t>
  </si>
  <si>
    <t>CLR</t>
  </si>
  <si>
    <t>2nd'</t>
  </si>
  <si>
    <t>INV'</t>
  </si>
  <si>
    <t>log</t>
  </si>
  <si>
    <t>CP</t>
  </si>
  <si>
    <t>tan</t>
  </si>
  <si>
    <t>LRN</t>
  </si>
  <si>
    <t>1/x</t>
  </si>
  <si>
    <t>Pgm</t>
  </si>
  <si>
    <t>sin</t>
  </si>
  <si>
    <t>cos</t>
  </si>
  <si>
    <t>Ind</t>
  </si>
  <si>
    <t>SST</t>
  </si>
  <si>
    <t>STO</t>
  </si>
  <si>
    <t>RCL</t>
  </si>
  <si>
    <t>SUM</t>
  </si>
  <si>
    <t>Ins</t>
  </si>
  <si>
    <t>CMs</t>
  </si>
  <si>
    <t>Exc</t>
  </si>
  <si>
    <t>Prd</t>
  </si>
  <si>
    <t>BST</t>
  </si>
  <si>
    <t>EE</t>
  </si>
  <si>
    <t>(</t>
  </si>
  <si>
    <t>)</t>
  </si>
  <si>
    <t>Del</t>
  </si>
  <si>
    <t>Eng</t>
  </si>
  <si>
    <t>Fix</t>
  </si>
  <si>
    <t>Int</t>
  </si>
  <si>
    <t>Deg</t>
  </si>
  <si>
    <t>GTO</t>
  </si>
  <si>
    <t>PG*</t>
  </si>
  <si>
    <t>EX*</t>
  </si>
  <si>
    <t>PD*</t>
  </si>
  <si>
    <t>Nop</t>
  </si>
  <si>
    <t>Op</t>
  </si>
  <si>
    <t>Rad</t>
  </si>
  <si>
    <t>SBR</t>
  </si>
  <si>
    <t>ST*</t>
  </si>
  <si>
    <t>RC*</t>
  </si>
  <si>
    <t>SM*</t>
  </si>
  <si>
    <t>-</t>
  </si>
  <si>
    <t>Lbl</t>
  </si>
  <si>
    <t>RST</t>
  </si>
  <si>
    <t>HIR</t>
  </si>
  <si>
    <t>GO*</t>
  </si>
  <si>
    <t>Op*</t>
  </si>
  <si>
    <t>+</t>
  </si>
  <si>
    <t>STF</t>
  </si>
  <si>
    <t>IFF</t>
  </si>
  <si>
    <t>R/S</t>
  </si>
  <si>
    <t>RTN</t>
  </si>
  <si>
    <t>.</t>
  </si>
  <si>
    <t>+/-</t>
  </si>
  <si>
    <t>=</t>
  </si>
  <si>
    <t>Dsz</t>
  </si>
  <si>
    <t>Adv</t>
  </si>
  <si>
    <t>Prt</t>
  </si>
  <si>
    <t>x&lt;&gt;t|x/t</t>
  </si>
  <si>
    <t>x²|x^2|X2</t>
  </si>
  <si>
    <t>√|√x|SQR|SQRT</t>
  </si>
  <si>
    <t>P-&gt;R|P/R</t>
  </si>
  <si>
    <t>^|y^x|YX|**</t>
  </si>
  <si>
    <t>|x||ABS|IXI</t>
  </si>
  <si>
    <t>/|÷</t>
  </si>
  <si>
    <t>*|×</t>
  </si>
  <si>
    <t>Pause|PAU</t>
  </si>
  <si>
    <t>x=t|EQ</t>
  </si>
  <si>
    <t>x≥t|x&gt;=t|GE</t>
  </si>
  <si>
    <t>Σ+|SIG+|STA</t>
  </si>
  <si>
    <t>x̄|AVG|AVR</t>
  </si>
  <si>
    <t>Grad|GRD</t>
  </si>
  <si>
    <t>DMS|D.MS</t>
  </si>
  <si>
    <t>π|PI</t>
  </si>
  <si>
    <t>List|LST</t>
  </si>
  <si>
    <t>Write|Wrt</t>
  </si>
  <si>
    <t>Syntax</t>
  </si>
  <si>
    <t>Atomic</t>
  </si>
  <si>
    <t>Register or indirect</t>
  </si>
  <si>
    <t>Label or address or indirect</t>
  </si>
  <si>
    <t>Indirect</t>
  </si>
  <si>
    <t>Label prefix</t>
  </si>
  <si>
    <t>Register</t>
  </si>
  <si>
    <t>0</t>
  </si>
  <si>
    <t>2</t>
  </si>
  <si>
    <t>3</t>
  </si>
  <si>
    <t>4</t>
  </si>
  <si>
    <t>5</t>
  </si>
  <si>
    <t>6</t>
  </si>
  <si>
    <t>7</t>
  </si>
  <si>
    <t>8</t>
  </si>
  <si>
    <t>9</t>
  </si>
  <si>
    <t>1</t>
  </si>
  <si>
    <t>Invertible</t>
  </si>
  <si>
    <t>X</t>
  </si>
  <si>
    <t>X (Atomic inverse)</t>
  </si>
  <si>
    <t>?</t>
  </si>
  <si>
    <t>Indirectible</t>
  </si>
  <si>
    <t>X double</t>
  </si>
  <si>
    <t>X (Mergeable)</t>
  </si>
  <si>
    <t>Merged</t>
  </si>
  <si>
    <t>Invert prefix or combined</t>
  </si>
  <si>
    <t>Only label tag</t>
  </si>
  <si>
    <t>Reg/Ind, Label/Address/Inc</t>
  </si>
  <si>
    <t>Indirect prefix or combined</t>
  </si>
  <si>
    <t>Row Labels</t>
  </si>
  <si>
    <t>Grand Total</t>
  </si>
  <si>
    <t>Count of Mnemonics</t>
  </si>
  <si>
    <t>Register or Ind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</si>
</sst>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"/>
    <numFmt numFmtId="165" formatCode="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erre Violent" refreshedDate="45978.004198379633" createdVersion="8" refreshedVersion="8" minRefreshableVersion="3" recordCount="100" xr:uid="{0794FDC5-4580-47ED-9F6D-D18C510D8A1C}">
  <cacheSource type="worksheet">
    <worksheetSource ref="A1:F101" sheet="Instructions table"/>
  </cacheSource>
  <cacheFields count="6">
    <cacheField name="OpCode" numFmtId="0">
      <sharedItems containsSemiMixedTypes="0" containsString="0" containsNumber="1" containsInteger="1" minValue="0" maxValue="99"/>
    </cacheField>
    <cacheField name="Lexer" numFmtId="0">
      <sharedItems containsBlank="1"/>
    </cacheField>
    <cacheField name="Mnemonics" numFmtId="0">
      <sharedItems count="100">
        <s v="0"/>
        <s v="1"/>
        <s v="2"/>
        <s v="3"/>
        <s v="4"/>
        <s v="5"/>
        <s v="6"/>
        <s v="7"/>
        <s v="8"/>
        <s v="9"/>
        <s v="E'"/>
        <s v="A"/>
        <s v="B"/>
        <s v="C"/>
        <s v="D"/>
        <s v="E"/>
        <s v="A'"/>
        <s v="B'"/>
        <s v="C'"/>
        <s v="D'"/>
        <s v="CLR'"/>
        <s v="2nd"/>
        <s v="INV"/>
        <s v="lnx"/>
        <s v="CE"/>
        <s v="CLR"/>
        <s v="2nd'"/>
        <s v="INV'"/>
        <s v="log"/>
        <s v="CP"/>
        <s v="tan"/>
        <s v="LRN"/>
        <s v="x&lt;&gt;t|x/t"/>
        <s v="x²|x^2|X2"/>
        <s v="√|√x|SQR|SQRT"/>
        <s v="1/x"/>
        <s v="Pgm"/>
        <s v="P-&gt;R|P/R"/>
        <s v="sin"/>
        <s v="cos"/>
        <s v="Ind"/>
        <s v="SST"/>
        <s v="STO"/>
        <s v="RCL"/>
        <s v="SUM"/>
        <s v="^|y^x|YX|**"/>
        <s v="Ins"/>
        <s v="CMs"/>
        <s v="Exc"/>
        <s v="Prd"/>
        <s v="|x||ABS|IXI"/>
        <s v="BST"/>
        <s v="EE"/>
        <s v="("/>
        <s v=")"/>
        <s v="/|÷"/>
        <s v="Del"/>
        <s v="Eng"/>
        <s v="Fix"/>
        <s v="Int"/>
        <s v="Deg"/>
        <s v="GTO"/>
        <s v="PG*"/>
        <s v="EX*"/>
        <s v="PD*"/>
        <s v="*|×"/>
        <s v="Pause|PAU"/>
        <s v="x=t|EQ"/>
        <s v="Nop"/>
        <s v="Op"/>
        <s v="Rad"/>
        <s v="SBR"/>
        <s v="ST*"/>
        <s v="RC*"/>
        <s v="SM*"/>
        <s v="-"/>
        <s v="Lbl"/>
        <s v="x≥t|x&gt;=t|GE"/>
        <s v="Σ+|SIG+|STA"/>
        <s v="x̄|AVG|AVR"/>
        <s v="Grad|GRD"/>
        <s v="RST"/>
        <s v="HIR"/>
        <s v="GO*"/>
        <s v="Op*"/>
        <s v="+"/>
        <s v="STF"/>
        <s v="IFF"/>
        <s v="DMS|D.MS"/>
        <s v="π|PI"/>
        <s v="List|LST"/>
        <s v="R/S"/>
        <s v="RTN"/>
        <s v="."/>
        <s v="+/-"/>
        <s v="="/>
        <s v="Write|Wrt"/>
        <s v="Dsz"/>
        <s v="Adv"/>
        <s v="Prt"/>
      </sharedItems>
    </cacheField>
    <cacheField name="Syntax" numFmtId="0">
      <sharedItems count="10">
        <s v="Atomic"/>
        <s v="Only label tag"/>
        <s v="Invert prefix or combined"/>
        <s v="Register or indirect"/>
        <s v="Indirect prefix or combined"/>
        <s v="Label or address or indirect"/>
        <s v="Indirect"/>
        <s v="Label prefix"/>
        <s v="Register"/>
        <s v="Reg/Ind, Label/Address/Inc"/>
      </sharedItems>
    </cacheField>
    <cacheField name="Invertible" numFmtId="0">
      <sharedItems containsBlank="1"/>
    </cacheField>
    <cacheField name="Indirectibl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0"/>
    <m/>
    <x v="0"/>
    <x v="0"/>
    <m/>
    <m/>
  </r>
  <r>
    <n v="1"/>
    <m/>
    <x v="1"/>
    <x v="0"/>
    <m/>
    <m/>
  </r>
  <r>
    <n v="2"/>
    <m/>
    <x v="2"/>
    <x v="0"/>
    <m/>
    <m/>
  </r>
  <r>
    <n v="3"/>
    <m/>
    <x v="3"/>
    <x v="0"/>
    <m/>
    <m/>
  </r>
  <r>
    <n v="4"/>
    <m/>
    <x v="4"/>
    <x v="0"/>
    <m/>
    <m/>
  </r>
  <r>
    <n v="5"/>
    <m/>
    <x v="5"/>
    <x v="0"/>
    <m/>
    <m/>
  </r>
  <r>
    <n v="6"/>
    <m/>
    <x v="6"/>
    <x v="0"/>
    <m/>
    <m/>
  </r>
  <r>
    <n v="7"/>
    <m/>
    <x v="7"/>
    <x v="0"/>
    <m/>
    <m/>
  </r>
  <r>
    <n v="8"/>
    <m/>
    <x v="8"/>
    <x v="0"/>
    <m/>
    <m/>
  </r>
  <r>
    <n v="9"/>
    <m/>
    <x v="9"/>
    <x v="0"/>
    <m/>
    <m/>
  </r>
  <r>
    <n v="10"/>
    <s v="I10_e_prime"/>
    <x v="10"/>
    <x v="0"/>
    <m/>
    <m/>
  </r>
  <r>
    <n v="11"/>
    <s v="I11_a"/>
    <x v="11"/>
    <x v="0"/>
    <m/>
    <m/>
  </r>
  <r>
    <n v="12"/>
    <s v="I12_b"/>
    <x v="12"/>
    <x v="0"/>
    <m/>
    <m/>
  </r>
  <r>
    <n v="13"/>
    <s v="I13_c"/>
    <x v="13"/>
    <x v="0"/>
    <m/>
    <m/>
  </r>
  <r>
    <n v="14"/>
    <s v="I14_d"/>
    <x v="14"/>
    <x v="0"/>
    <m/>
    <m/>
  </r>
  <r>
    <n v="15"/>
    <s v="I15_e"/>
    <x v="15"/>
    <x v="0"/>
    <m/>
    <m/>
  </r>
  <r>
    <n v="16"/>
    <s v="I16_a_prime"/>
    <x v="16"/>
    <x v="0"/>
    <m/>
    <m/>
  </r>
  <r>
    <n v="17"/>
    <s v="I17_b_prime"/>
    <x v="17"/>
    <x v="0"/>
    <m/>
    <m/>
  </r>
  <r>
    <n v="18"/>
    <s v="I18_c_prime"/>
    <x v="18"/>
    <x v="0"/>
    <m/>
    <m/>
  </r>
  <r>
    <n v="19"/>
    <s v="I19_d_prime"/>
    <x v="19"/>
    <x v="0"/>
    <m/>
    <m/>
  </r>
  <r>
    <n v="20"/>
    <s v="I20_2nd_clear"/>
    <x v="20"/>
    <x v="0"/>
    <m/>
    <m/>
  </r>
  <r>
    <n v="21"/>
    <s v="I21_2nd"/>
    <x v="21"/>
    <x v="1"/>
    <m/>
    <m/>
  </r>
  <r>
    <n v="22"/>
    <s v="I22_invert"/>
    <x v="22"/>
    <x v="2"/>
    <m/>
    <m/>
  </r>
  <r>
    <n v="23"/>
    <s v="I23_ln"/>
    <x v="23"/>
    <x v="0"/>
    <m/>
    <m/>
  </r>
  <r>
    <n v="24"/>
    <s v="I24_correct_entry"/>
    <x v="24"/>
    <x v="0"/>
    <m/>
    <m/>
  </r>
  <r>
    <n v="25"/>
    <s v="I25_clear"/>
    <x v="25"/>
    <x v="0"/>
    <m/>
    <m/>
  </r>
  <r>
    <n v="26"/>
    <s v="I26_2nd_2nd"/>
    <x v="26"/>
    <x v="1"/>
    <m/>
    <m/>
  </r>
  <r>
    <n v="27"/>
    <s v="I27_2nd_invert"/>
    <x v="27"/>
    <x v="0"/>
    <m/>
    <m/>
  </r>
  <r>
    <n v="28"/>
    <s v="I28_log"/>
    <x v="28"/>
    <x v="0"/>
    <s v="X"/>
    <m/>
  </r>
  <r>
    <n v="29"/>
    <s v="I29_clear_program"/>
    <x v="29"/>
    <x v="0"/>
    <m/>
    <m/>
  </r>
  <r>
    <n v="30"/>
    <s v="I30_tan"/>
    <x v="30"/>
    <x v="0"/>
    <s v="X"/>
    <m/>
  </r>
  <r>
    <n v="31"/>
    <s v="I31_learn"/>
    <x v="31"/>
    <x v="1"/>
    <m/>
    <m/>
  </r>
  <r>
    <n v="32"/>
    <s v="I32_exchange_x_and_t"/>
    <x v="32"/>
    <x v="0"/>
    <m/>
    <m/>
  </r>
  <r>
    <n v="33"/>
    <s v="I33_square"/>
    <x v="33"/>
    <x v="0"/>
    <m/>
    <m/>
  </r>
  <r>
    <n v="34"/>
    <s v="I34_square_root"/>
    <x v="34"/>
    <x v="0"/>
    <m/>
    <m/>
  </r>
  <r>
    <n v="35"/>
    <s v="I35_reciprocal"/>
    <x v="35"/>
    <x v="0"/>
    <m/>
    <m/>
  </r>
  <r>
    <n v="36"/>
    <s v="I36_program"/>
    <x v="36"/>
    <x v="3"/>
    <m/>
    <s v="X (Mergeable)"/>
  </r>
  <r>
    <n v="37"/>
    <s v="I37_polar_to_rectangular"/>
    <x v="37"/>
    <x v="0"/>
    <s v="X"/>
    <m/>
  </r>
  <r>
    <n v="38"/>
    <s v="I38_sin"/>
    <x v="38"/>
    <x v="0"/>
    <s v="X"/>
    <m/>
  </r>
  <r>
    <n v="39"/>
    <s v="I39_cos"/>
    <x v="39"/>
    <x v="0"/>
    <s v="X"/>
    <m/>
  </r>
  <r>
    <n v="40"/>
    <s v="I40_indirect"/>
    <x v="40"/>
    <x v="4"/>
    <m/>
    <m/>
  </r>
  <r>
    <n v="41"/>
    <s v="I41_single_step"/>
    <x v="41"/>
    <x v="1"/>
    <m/>
    <m/>
  </r>
  <r>
    <n v="42"/>
    <s v="I42_store"/>
    <x v="42"/>
    <x v="3"/>
    <m/>
    <s v="X (Mergeable)"/>
  </r>
  <r>
    <n v="43"/>
    <s v="I43_recall"/>
    <x v="43"/>
    <x v="3"/>
    <m/>
    <s v="X (Mergeable)"/>
  </r>
  <r>
    <n v="44"/>
    <s v="I44_sum"/>
    <x v="44"/>
    <x v="3"/>
    <s v="X"/>
    <s v="X (Mergeable)"/>
  </r>
  <r>
    <n v="45"/>
    <s v="I45_power"/>
    <x v="45"/>
    <x v="0"/>
    <m/>
    <m/>
  </r>
  <r>
    <n v="46"/>
    <s v="I46_insert"/>
    <x v="46"/>
    <x v="1"/>
    <m/>
    <m/>
  </r>
  <r>
    <n v="47"/>
    <s v="I47_clear_memory"/>
    <x v="47"/>
    <x v="0"/>
    <m/>
    <m/>
  </r>
  <r>
    <n v="48"/>
    <s v="I48_exchange"/>
    <x v="48"/>
    <x v="3"/>
    <m/>
    <s v="X (Mergeable)"/>
  </r>
  <r>
    <n v="49"/>
    <s v="I49_product"/>
    <x v="49"/>
    <x v="3"/>
    <s v="X"/>
    <s v="X (Mergeable)"/>
  </r>
  <r>
    <n v="50"/>
    <s v="I50_absolute"/>
    <x v="50"/>
    <x v="0"/>
    <m/>
    <m/>
  </r>
  <r>
    <n v="51"/>
    <s v="I51_backstep"/>
    <x v="51"/>
    <x v="1"/>
    <m/>
    <m/>
  </r>
  <r>
    <n v="52"/>
    <s v="I52_exponent"/>
    <x v="52"/>
    <x v="0"/>
    <s v="X"/>
    <m/>
  </r>
  <r>
    <n v="53"/>
    <s v="I53_left_parenthesis"/>
    <x v="53"/>
    <x v="0"/>
    <m/>
    <m/>
  </r>
  <r>
    <n v="54"/>
    <s v="I54_right_parenthesis"/>
    <x v="54"/>
    <x v="0"/>
    <m/>
    <m/>
  </r>
  <r>
    <n v="55"/>
    <s v="I55_divide"/>
    <x v="55"/>
    <x v="0"/>
    <m/>
    <m/>
  </r>
  <r>
    <n v="56"/>
    <s v="I56_delete"/>
    <x v="56"/>
    <x v="1"/>
    <m/>
    <m/>
  </r>
  <r>
    <n v="57"/>
    <s v="I57_engineering"/>
    <x v="57"/>
    <x v="0"/>
    <s v="X"/>
    <m/>
  </r>
  <r>
    <n v="58"/>
    <s v="I58_fix"/>
    <x v="58"/>
    <x v="0"/>
    <s v="X (Atomic inverse)"/>
    <s v="X"/>
  </r>
  <r>
    <n v="59"/>
    <s v="I59_integer"/>
    <x v="59"/>
    <x v="0"/>
    <s v="X"/>
    <m/>
  </r>
  <r>
    <n v="60"/>
    <s v="I60_degrees"/>
    <x v="60"/>
    <x v="0"/>
    <m/>
    <m/>
  </r>
  <r>
    <n v="61"/>
    <s v="I61_goto"/>
    <x v="61"/>
    <x v="5"/>
    <m/>
    <s v="X (Mergeable)"/>
  </r>
  <r>
    <n v="62"/>
    <s v="I62_program_indirect"/>
    <x v="62"/>
    <x v="6"/>
    <m/>
    <s v="Merged"/>
  </r>
  <r>
    <n v="63"/>
    <s v="I63_exchange_indirect"/>
    <x v="63"/>
    <x v="6"/>
    <m/>
    <s v="Merged"/>
  </r>
  <r>
    <n v="64"/>
    <s v="I64_product_indirect"/>
    <x v="64"/>
    <x v="6"/>
    <s v="X"/>
    <s v="Merged"/>
  </r>
  <r>
    <n v="65"/>
    <s v="I65_multiply"/>
    <x v="65"/>
    <x v="0"/>
    <m/>
    <m/>
  </r>
  <r>
    <n v="66"/>
    <s v="I66_pause"/>
    <x v="66"/>
    <x v="0"/>
    <m/>
    <m/>
  </r>
  <r>
    <n v="67"/>
    <s v="I67_x_equals_t"/>
    <x v="67"/>
    <x v="5"/>
    <s v="X"/>
    <s v="X"/>
  </r>
  <r>
    <n v="68"/>
    <s v="I68_nop"/>
    <x v="68"/>
    <x v="0"/>
    <m/>
    <m/>
  </r>
  <r>
    <n v="69"/>
    <s v="I69_operation"/>
    <x v="69"/>
    <x v="3"/>
    <m/>
    <s v="X (Mergeable)"/>
  </r>
  <r>
    <n v="70"/>
    <s v="I70_radians"/>
    <x v="70"/>
    <x v="0"/>
    <m/>
    <m/>
  </r>
  <r>
    <n v="71"/>
    <s v="I71_subroutine"/>
    <x v="71"/>
    <x v="5"/>
    <s v="X (Atomic inverse)"/>
    <s v="X"/>
  </r>
  <r>
    <n v="72"/>
    <s v="I72_store_indirect"/>
    <x v="72"/>
    <x v="6"/>
    <m/>
    <s v="Merged"/>
  </r>
  <r>
    <n v="73"/>
    <s v="I73_recall_indirect"/>
    <x v="73"/>
    <x v="6"/>
    <m/>
    <s v="Merged"/>
  </r>
  <r>
    <n v="74"/>
    <s v="I74_sum_indirect"/>
    <x v="74"/>
    <x v="6"/>
    <s v="X"/>
    <s v="Merged"/>
  </r>
  <r>
    <n v="75"/>
    <s v="I75_subtract"/>
    <x v="75"/>
    <x v="0"/>
    <m/>
    <m/>
  </r>
  <r>
    <n v="76"/>
    <s v="I76_label"/>
    <x v="76"/>
    <x v="7"/>
    <m/>
    <m/>
  </r>
  <r>
    <n v="77"/>
    <s v="I77_x_greater_or_equal_than_t"/>
    <x v="77"/>
    <x v="5"/>
    <m/>
    <s v="X"/>
  </r>
  <r>
    <n v="78"/>
    <s v="I78_sigma_plus"/>
    <x v="78"/>
    <x v="0"/>
    <s v="X"/>
    <m/>
  </r>
  <r>
    <n v="79"/>
    <s v="I79_average"/>
    <x v="79"/>
    <x v="0"/>
    <s v="X"/>
    <m/>
  </r>
  <r>
    <n v="80"/>
    <s v="I80_grades"/>
    <x v="80"/>
    <x v="0"/>
    <m/>
    <m/>
  </r>
  <r>
    <n v="81"/>
    <s v="I81_reset"/>
    <x v="81"/>
    <x v="0"/>
    <m/>
    <m/>
  </r>
  <r>
    <n v="82"/>
    <s v="I82_hir"/>
    <x v="82"/>
    <x v="8"/>
    <m/>
    <m/>
  </r>
  <r>
    <n v="83"/>
    <s v="I83_goto_indirect"/>
    <x v="83"/>
    <x v="6"/>
    <m/>
    <s v="Merged"/>
  </r>
  <r>
    <n v="84"/>
    <s v="I84_operation_indirect"/>
    <x v="84"/>
    <x v="6"/>
    <m/>
    <s v="Merged"/>
  </r>
  <r>
    <n v="85"/>
    <s v="I85_add"/>
    <x v="85"/>
    <x v="0"/>
    <m/>
    <m/>
  </r>
  <r>
    <n v="86"/>
    <s v="I86_set_flag"/>
    <x v="86"/>
    <x v="3"/>
    <s v="X"/>
    <s v="X"/>
  </r>
  <r>
    <n v="87"/>
    <s v="I87_if_flag"/>
    <x v="87"/>
    <x v="9"/>
    <s v="X"/>
    <s v="X double"/>
  </r>
  <r>
    <n v="88"/>
    <s v="I88_dms"/>
    <x v="88"/>
    <x v="0"/>
    <s v="X"/>
    <m/>
  </r>
  <r>
    <n v="89"/>
    <s v="I89_pi"/>
    <x v="89"/>
    <x v="0"/>
    <m/>
    <m/>
  </r>
  <r>
    <n v="90"/>
    <s v="I90_list"/>
    <x v="90"/>
    <x v="0"/>
    <s v="X"/>
    <m/>
  </r>
  <r>
    <n v="91"/>
    <s v="I91_run_stop"/>
    <x v="91"/>
    <x v="0"/>
    <m/>
    <m/>
  </r>
  <r>
    <n v="92"/>
    <s v="I92_return"/>
    <x v="92"/>
    <x v="0"/>
    <m/>
    <m/>
  </r>
  <r>
    <n v="93"/>
    <s v="I93_dot"/>
    <x v="93"/>
    <x v="0"/>
    <m/>
    <m/>
  </r>
  <r>
    <n v="94"/>
    <s v="I94_change_sign"/>
    <x v="94"/>
    <x v="0"/>
    <m/>
    <m/>
  </r>
  <r>
    <n v="95"/>
    <s v="I95_equals"/>
    <x v="95"/>
    <x v="0"/>
    <m/>
    <m/>
  </r>
  <r>
    <n v="96"/>
    <s v="I96_write"/>
    <x v="96"/>
    <x v="0"/>
    <s v="X"/>
    <m/>
  </r>
  <r>
    <n v="97"/>
    <s v="I97_dsz"/>
    <x v="97"/>
    <x v="9"/>
    <s v="X"/>
    <s v="X double"/>
  </r>
  <r>
    <n v="98"/>
    <s v="I98_advance"/>
    <x v="98"/>
    <x v="0"/>
    <s v="?"/>
    <m/>
  </r>
  <r>
    <n v="99"/>
    <s v="I99_print"/>
    <x v="99"/>
    <x v="0"/>
    <s v="?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3B594-CD2F-489C-A9EA-F016C26CC5A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6">
    <pivotField showAll="0"/>
    <pivotField showAll="0"/>
    <pivotField dataField="1" showAll="0">
      <items count="101">
        <item x="75"/>
        <item x="53"/>
        <item x="54"/>
        <item x="65"/>
        <item x="93"/>
        <item x="55"/>
        <item x="45"/>
        <item x="50"/>
        <item x="85"/>
        <item x="94"/>
        <item x="95"/>
        <item x="34"/>
        <item x="0"/>
        <item x="1"/>
        <item x="35"/>
        <item x="2"/>
        <item x="21"/>
        <item x="26"/>
        <item x="3"/>
        <item x="4"/>
        <item x="5"/>
        <item x="6"/>
        <item x="7"/>
        <item x="8"/>
        <item x="9"/>
        <item x="11"/>
        <item x="16"/>
        <item x="98"/>
        <item x="12"/>
        <item x="17"/>
        <item x="51"/>
        <item x="13"/>
        <item x="18"/>
        <item x="24"/>
        <item x="25"/>
        <item x="20"/>
        <item x="47"/>
        <item x="39"/>
        <item x="29"/>
        <item x="14"/>
        <item x="19"/>
        <item x="60"/>
        <item x="56"/>
        <item x="88"/>
        <item x="97"/>
        <item x="15"/>
        <item x="10"/>
        <item x="52"/>
        <item x="57"/>
        <item x="63"/>
        <item x="48"/>
        <item x="58"/>
        <item x="83"/>
        <item x="80"/>
        <item x="61"/>
        <item x="82"/>
        <item x="87"/>
        <item x="40"/>
        <item x="46"/>
        <item x="59"/>
        <item x="22"/>
        <item x="27"/>
        <item x="76"/>
        <item x="90"/>
        <item x="23"/>
        <item x="28"/>
        <item x="31"/>
        <item x="68"/>
        <item x="69"/>
        <item x="84"/>
        <item x="37"/>
        <item x="66"/>
        <item x="64"/>
        <item x="62"/>
        <item x="36"/>
        <item x="49"/>
        <item x="99"/>
        <item x="91"/>
        <item x="70"/>
        <item x="73"/>
        <item x="43"/>
        <item x="81"/>
        <item x="92"/>
        <item x="71"/>
        <item x="38"/>
        <item x="74"/>
        <item x="41"/>
        <item x="72"/>
        <item x="86"/>
        <item x="42"/>
        <item x="44"/>
        <item x="30"/>
        <item x="96"/>
        <item x="79"/>
        <item x="32"/>
        <item x="67"/>
        <item x="77"/>
        <item x="33"/>
        <item x="89"/>
        <item x="78"/>
        <item t="default"/>
      </items>
    </pivotField>
    <pivotField axis="axisRow" showAll="0">
      <items count="11">
        <item x="0"/>
        <item x="6"/>
        <item x="4"/>
        <item x="2"/>
        <item x="5"/>
        <item x="7"/>
        <item x="1"/>
        <item x="9"/>
        <item x="8"/>
        <item x="3"/>
        <item t="default"/>
      </items>
    </pivotField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Mnemonic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8AED-F224-4E04-9363-190526C87892}">
  <dimension ref="A1:F101"/>
  <sheetViews>
    <sheetView tabSelected="1" topLeftCell="A19" workbookViewId="0">
      <selection activeCell="F38" sqref="F38"/>
    </sheetView>
  </sheetViews>
  <sheetFormatPr defaultRowHeight="15" x14ac:dyDescent="0.25"/>
  <cols>
    <col min="1" max="1" width="8" bestFit="1" customWidth="1"/>
    <col min="2" max="2" width="27.7109375" bestFit="1" customWidth="1"/>
    <col min="3" max="3" width="18.85546875" bestFit="1" customWidth="1"/>
    <col min="4" max="4" width="25.5703125" bestFit="1" customWidth="1"/>
    <col min="5" max="5" width="17" bestFit="1" customWidth="1"/>
    <col min="6" max="6" width="13.28515625" bestFit="1" customWidth="1"/>
  </cols>
  <sheetData>
    <row r="1" spans="1:6" x14ac:dyDescent="0.25">
      <c r="A1" t="s">
        <v>90</v>
      </c>
      <c r="B1" t="s">
        <v>91</v>
      </c>
      <c r="C1" t="s">
        <v>92</v>
      </c>
      <c r="D1" t="s">
        <v>183</v>
      </c>
      <c r="E1" t="s">
        <v>200</v>
      </c>
      <c r="F1" t="s">
        <v>204</v>
      </c>
    </row>
    <row r="2" spans="1:6" x14ac:dyDescent="0.25">
      <c r="A2" s="3">
        <v>0</v>
      </c>
      <c r="C2" s="1" t="s">
        <v>190</v>
      </c>
      <c r="D2" t="s">
        <v>184</v>
      </c>
    </row>
    <row r="3" spans="1:6" x14ac:dyDescent="0.25">
      <c r="A3" s="2">
        <v>1</v>
      </c>
      <c r="C3" s="1" t="s">
        <v>199</v>
      </c>
      <c r="D3" t="s">
        <v>184</v>
      </c>
    </row>
    <row r="4" spans="1:6" x14ac:dyDescent="0.25">
      <c r="A4" s="2">
        <v>2</v>
      </c>
      <c r="C4" s="1" t="s">
        <v>191</v>
      </c>
      <c r="D4" t="s">
        <v>184</v>
      </c>
    </row>
    <row r="5" spans="1:6" x14ac:dyDescent="0.25">
      <c r="A5" s="2">
        <v>3</v>
      </c>
      <c r="C5" s="1" t="s">
        <v>192</v>
      </c>
      <c r="D5" t="s">
        <v>184</v>
      </c>
    </row>
    <row r="6" spans="1:6" x14ac:dyDescent="0.25">
      <c r="A6" s="2">
        <v>4</v>
      </c>
      <c r="C6" s="1" t="s">
        <v>193</v>
      </c>
      <c r="D6" t="s">
        <v>184</v>
      </c>
    </row>
    <row r="7" spans="1:6" x14ac:dyDescent="0.25">
      <c r="A7" s="2">
        <v>5</v>
      </c>
      <c r="C7" s="1" t="s">
        <v>194</v>
      </c>
      <c r="D7" t="s">
        <v>184</v>
      </c>
    </row>
    <row r="8" spans="1:6" x14ac:dyDescent="0.25">
      <c r="A8" s="2">
        <v>6</v>
      </c>
      <c r="C8" s="1" t="s">
        <v>195</v>
      </c>
      <c r="D8" t="s">
        <v>184</v>
      </c>
    </row>
    <row r="9" spans="1:6" x14ac:dyDescent="0.25">
      <c r="A9" s="2">
        <v>7</v>
      </c>
      <c r="C9" s="1" t="s">
        <v>196</v>
      </c>
      <c r="D9" t="s">
        <v>184</v>
      </c>
    </row>
    <row r="10" spans="1:6" x14ac:dyDescent="0.25">
      <c r="A10" s="2">
        <v>8</v>
      </c>
      <c r="C10" s="1" t="s">
        <v>197</v>
      </c>
      <c r="D10" t="s">
        <v>184</v>
      </c>
    </row>
    <row r="11" spans="1:6" x14ac:dyDescent="0.25">
      <c r="A11" s="2">
        <v>9</v>
      </c>
      <c r="C11" s="1" t="s">
        <v>198</v>
      </c>
      <c r="D11" t="s">
        <v>184</v>
      </c>
    </row>
    <row r="12" spans="1:6" x14ac:dyDescent="0.25">
      <c r="A12">
        <f t="shared" ref="A12:A43" si="0">VALUE(MID(B12,2,2))</f>
        <v>10</v>
      </c>
      <c r="B12" t="s">
        <v>9</v>
      </c>
      <c r="C12" t="s">
        <v>93</v>
      </c>
      <c r="D12" t="s">
        <v>184</v>
      </c>
    </row>
    <row r="13" spans="1:6" x14ac:dyDescent="0.25">
      <c r="A13">
        <f t="shared" si="0"/>
        <v>11</v>
      </c>
      <c r="B13" t="s">
        <v>0</v>
      </c>
      <c r="C13" t="s">
        <v>94</v>
      </c>
      <c r="D13" t="s">
        <v>184</v>
      </c>
    </row>
    <row r="14" spans="1:6" x14ac:dyDescent="0.25">
      <c r="A14">
        <f t="shared" si="0"/>
        <v>12</v>
      </c>
      <c r="B14" t="s">
        <v>1</v>
      </c>
      <c r="C14" t="s">
        <v>95</v>
      </c>
      <c r="D14" t="s">
        <v>184</v>
      </c>
    </row>
    <row r="15" spans="1:6" x14ac:dyDescent="0.25">
      <c r="A15">
        <f t="shared" si="0"/>
        <v>13</v>
      </c>
      <c r="B15" t="s">
        <v>2</v>
      </c>
      <c r="C15" t="s">
        <v>96</v>
      </c>
      <c r="D15" t="s">
        <v>184</v>
      </c>
    </row>
    <row r="16" spans="1:6" x14ac:dyDescent="0.25">
      <c r="A16">
        <f t="shared" si="0"/>
        <v>14</v>
      </c>
      <c r="B16" t="s">
        <v>3</v>
      </c>
      <c r="C16" t="s">
        <v>97</v>
      </c>
      <c r="D16" t="s">
        <v>184</v>
      </c>
    </row>
    <row r="17" spans="1:5" x14ac:dyDescent="0.25">
      <c r="A17">
        <f t="shared" si="0"/>
        <v>15</v>
      </c>
      <c r="B17" t="s">
        <v>4</v>
      </c>
      <c r="C17" t="s">
        <v>98</v>
      </c>
      <c r="D17" t="s">
        <v>184</v>
      </c>
    </row>
    <row r="18" spans="1:5" x14ac:dyDescent="0.25">
      <c r="A18">
        <f t="shared" si="0"/>
        <v>16</v>
      </c>
      <c r="B18" t="s">
        <v>5</v>
      </c>
      <c r="C18" t="s">
        <v>99</v>
      </c>
      <c r="D18" t="s">
        <v>184</v>
      </c>
    </row>
    <row r="19" spans="1:5" x14ac:dyDescent="0.25">
      <c r="A19">
        <f t="shared" si="0"/>
        <v>17</v>
      </c>
      <c r="B19" t="s">
        <v>6</v>
      </c>
      <c r="C19" t="s">
        <v>100</v>
      </c>
      <c r="D19" t="s">
        <v>184</v>
      </c>
    </row>
    <row r="20" spans="1:5" x14ac:dyDescent="0.25">
      <c r="A20">
        <f t="shared" si="0"/>
        <v>18</v>
      </c>
      <c r="B20" t="s">
        <v>7</v>
      </c>
      <c r="C20" t="s">
        <v>101</v>
      </c>
      <c r="D20" t="s">
        <v>184</v>
      </c>
    </row>
    <row r="21" spans="1:5" x14ac:dyDescent="0.25">
      <c r="A21">
        <f t="shared" si="0"/>
        <v>19</v>
      </c>
      <c r="B21" t="s">
        <v>8</v>
      </c>
      <c r="C21" t="s">
        <v>102</v>
      </c>
      <c r="D21" t="s">
        <v>184</v>
      </c>
    </row>
    <row r="22" spans="1:5" x14ac:dyDescent="0.25">
      <c r="A22">
        <f t="shared" si="0"/>
        <v>20</v>
      </c>
      <c r="B22" t="s">
        <v>19</v>
      </c>
      <c r="C22" t="s">
        <v>103</v>
      </c>
      <c r="D22" t="s">
        <v>184</v>
      </c>
    </row>
    <row r="23" spans="1:5" x14ac:dyDescent="0.25">
      <c r="A23">
        <f t="shared" si="0"/>
        <v>21</v>
      </c>
      <c r="B23" t="s">
        <v>10</v>
      </c>
      <c r="C23" t="s">
        <v>104</v>
      </c>
      <c r="D23" t="s">
        <v>209</v>
      </c>
    </row>
    <row r="24" spans="1:5" x14ac:dyDescent="0.25">
      <c r="A24">
        <f t="shared" si="0"/>
        <v>22</v>
      </c>
      <c r="B24" t="s">
        <v>11</v>
      </c>
      <c r="C24" t="s">
        <v>105</v>
      </c>
      <c r="D24" t="s">
        <v>208</v>
      </c>
    </row>
    <row r="25" spans="1:5" x14ac:dyDescent="0.25">
      <c r="A25">
        <f t="shared" si="0"/>
        <v>23</v>
      </c>
      <c r="B25" t="s">
        <v>12</v>
      </c>
      <c r="C25" t="s">
        <v>106</v>
      </c>
      <c r="D25" t="s">
        <v>184</v>
      </c>
    </row>
    <row r="26" spans="1:5" x14ac:dyDescent="0.25">
      <c r="A26">
        <f t="shared" si="0"/>
        <v>24</v>
      </c>
      <c r="B26" t="s">
        <v>13</v>
      </c>
      <c r="C26" t="s">
        <v>107</v>
      </c>
      <c r="D26" t="s">
        <v>184</v>
      </c>
    </row>
    <row r="27" spans="1:5" x14ac:dyDescent="0.25">
      <c r="A27">
        <f t="shared" si="0"/>
        <v>25</v>
      </c>
      <c r="B27" t="s">
        <v>14</v>
      </c>
      <c r="C27" t="s">
        <v>108</v>
      </c>
      <c r="D27" t="s">
        <v>184</v>
      </c>
    </row>
    <row r="28" spans="1:5" x14ac:dyDescent="0.25">
      <c r="A28">
        <f t="shared" si="0"/>
        <v>26</v>
      </c>
      <c r="B28" t="s">
        <v>15</v>
      </c>
      <c r="C28" t="s">
        <v>109</v>
      </c>
      <c r="D28" t="s">
        <v>209</v>
      </c>
    </row>
    <row r="29" spans="1:5" x14ac:dyDescent="0.25">
      <c r="A29">
        <f t="shared" si="0"/>
        <v>27</v>
      </c>
      <c r="B29" t="s">
        <v>16</v>
      </c>
      <c r="C29" t="s">
        <v>110</v>
      </c>
      <c r="D29" t="s">
        <v>184</v>
      </c>
    </row>
    <row r="30" spans="1:5" x14ac:dyDescent="0.25">
      <c r="A30">
        <f t="shared" si="0"/>
        <v>28</v>
      </c>
      <c r="B30" t="s">
        <v>17</v>
      </c>
      <c r="C30" t="s">
        <v>111</v>
      </c>
      <c r="D30" t="s">
        <v>184</v>
      </c>
      <c r="E30" t="s">
        <v>201</v>
      </c>
    </row>
    <row r="31" spans="1:5" x14ac:dyDescent="0.25">
      <c r="A31">
        <f t="shared" si="0"/>
        <v>29</v>
      </c>
      <c r="B31" t="s">
        <v>18</v>
      </c>
      <c r="C31" t="s">
        <v>112</v>
      </c>
      <c r="D31" t="s">
        <v>184</v>
      </c>
    </row>
    <row r="32" spans="1:5" x14ac:dyDescent="0.25">
      <c r="A32">
        <f t="shared" si="0"/>
        <v>30</v>
      </c>
      <c r="B32" t="s">
        <v>29</v>
      </c>
      <c r="C32" t="s">
        <v>113</v>
      </c>
      <c r="D32" t="s">
        <v>184</v>
      </c>
      <c r="E32" t="s">
        <v>201</v>
      </c>
    </row>
    <row r="33" spans="1:6" x14ac:dyDescent="0.25">
      <c r="A33">
        <f t="shared" si="0"/>
        <v>31</v>
      </c>
      <c r="B33" t="s">
        <v>20</v>
      </c>
      <c r="C33" t="s">
        <v>114</v>
      </c>
      <c r="D33" t="s">
        <v>209</v>
      </c>
    </row>
    <row r="34" spans="1:6" x14ac:dyDescent="0.25">
      <c r="A34">
        <f t="shared" si="0"/>
        <v>32</v>
      </c>
      <c r="B34" t="s">
        <v>21</v>
      </c>
      <c r="C34" t="s">
        <v>165</v>
      </c>
      <c r="D34" t="s">
        <v>184</v>
      </c>
    </row>
    <row r="35" spans="1:6" x14ac:dyDescent="0.25">
      <c r="A35">
        <f t="shared" si="0"/>
        <v>33</v>
      </c>
      <c r="B35" t="s">
        <v>22</v>
      </c>
      <c r="C35" t="s">
        <v>166</v>
      </c>
      <c r="D35" t="s">
        <v>184</v>
      </c>
    </row>
    <row r="36" spans="1:6" x14ac:dyDescent="0.25">
      <c r="A36">
        <f t="shared" si="0"/>
        <v>34</v>
      </c>
      <c r="B36" t="s">
        <v>23</v>
      </c>
      <c r="C36" t="s">
        <v>167</v>
      </c>
      <c r="D36" t="s">
        <v>184</v>
      </c>
    </row>
    <row r="37" spans="1:6" x14ac:dyDescent="0.25">
      <c r="A37">
        <f t="shared" si="0"/>
        <v>35</v>
      </c>
      <c r="B37" t="s">
        <v>24</v>
      </c>
      <c r="C37" t="s">
        <v>115</v>
      </c>
      <c r="D37" t="s">
        <v>184</v>
      </c>
    </row>
    <row r="38" spans="1:6" x14ac:dyDescent="0.25">
      <c r="A38">
        <f t="shared" si="0"/>
        <v>36</v>
      </c>
      <c r="B38" t="s">
        <v>25</v>
      </c>
      <c r="C38" t="s">
        <v>116</v>
      </c>
      <c r="D38" t="s">
        <v>215</v>
      </c>
      <c r="F38" t="s">
        <v>206</v>
      </c>
    </row>
    <row r="39" spans="1:6" x14ac:dyDescent="0.25">
      <c r="A39">
        <f t="shared" si="0"/>
        <v>37</v>
      </c>
      <c r="B39" t="s">
        <v>26</v>
      </c>
      <c r="C39" t="s">
        <v>168</v>
      </c>
      <c r="D39" t="s">
        <v>184</v>
      </c>
      <c r="E39" t="s">
        <v>201</v>
      </c>
    </row>
    <row r="40" spans="1:6" x14ac:dyDescent="0.25">
      <c r="A40">
        <f t="shared" si="0"/>
        <v>38</v>
      </c>
      <c r="B40" t="s">
        <v>27</v>
      </c>
      <c r="C40" t="s">
        <v>117</v>
      </c>
      <c r="D40" t="s">
        <v>184</v>
      </c>
      <c r="E40" t="s">
        <v>201</v>
      </c>
    </row>
    <row r="41" spans="1:6" x14ac:dyDescent="0.25">
      <c r="A41">
        <f t="shared" si="0"/>
        <v>39</v>
      </c>
      <c r="B41" t="s">
        <v>28</v>
      </c>
      <c r="C41" t="s">
        <v>118</v>
      </c>
      <c r="D41" t="s">
        <v>184</v>
      </c>
      <c r="E41" t="s">
        <v>201</v>
      </c>
    </row>
    <row r="42" spans="1:6" x14ac:dyDescent="0.25">
      <c r="A42">
        <f t="shared" si="0"/>
        <v>40</v>
      </c>
      <c r="B42" t="s">
        <v>39</v>
      </c>
      <c r="C42" t="s">
        <v>119</v>
      </c>
      <c r="D42" t="s">
        <v>211</v>
      </c>
    </row>
    <row r="43" spans="1:6" x14ac:dyDescent="0.25">
      <c r="A43">
        <f t="shared" si="0"/>
        <v>41</v>
      </c>
      <c r="B43" t="s">
        <v>30</v>
      </c>
      <c r="C43" t="s">
        <v>120</v>
      </c>
      <c r="D43" t="s">
        <v>209</v>
      </c>
    </row>
    <row r="44" spans="1:6" x14ac:dyDescent="0.25">
      <c r="A44">
        <f t="shared" ref="A44:A75" si="1">VALUE(MID(B44,2,2))</f>
        <v>42</v>
      </c>
      <c r="B44" t="s">
        <v>31</v>
      </c>
      <c r="C44" t="s">
        <v>121</v>
      </c>
      <c r="D44" t="s">
        <v>215</v>
      </c>
      <c r="F44" t="s">
        <v>206</v>
      </c>
    </row>
    <row r="45" spans="1:6" x14ac:dyDescent="0.25">
      <c r="A45">
        <f t="shared" si="1"/>
        <v>43</v>
      </c>
      <c r="B45" t="s">
        <v>32</v>
      </c>
      <c r="C45" t="s">
        <v>122</v>
      </c>
      <c r="D45" t="s">
        <v>215</v>
      </c>
      <c r="F45" t="s">
        <v>206</v>
      </c>
    </row>
    <row r="46" spans="1:6" x14ac:dyDescent="0.25">
      <c r="A46">
        <f t="shared" si="1"/>
        <v>44</v>
      </c>
      <c r="B46" t="s">
        <v>33</v>
      </c>
      <c r="C46" t="s">
        <v>123</v>
      </c>
      <c r="D46" t="s">
        <v>215</v>
      </c>
      <c r="E46" t="s">
        <v>201</v>
      </c>
      <c r="F46" t="s">
        <v>206</v>
      </c>
    </row>
    <row r="47" spans="1:6" x14ac:dyDescent="0.25">
      <c r="A47">
        <f t="shared" si="1"/>
        <v>45</v>
      </c>
      <c r="B47" t="s">
        <v>34</v>
      </c>
      <c r="C47" t="s">
        <v>169</v>
      </c>
      <c r="D47" t="s">
        <v>184</v>
      </c>
    </row>
    <row r="48" spans="1:6" x14ac:dyDescent="0.25">
      <c r="A48">
        <f t="shared" si="1"/>
        <v>46</v>
      </c>
      <c r="B48" t="s">
        <v>35</v>
      </c>
      <c r="C48" t="s">
        <v>124</v>
      </c>
      <c r="D48" t="s">
        <v>209</v>
      </c>
    </row>
    <row r="49" spans="1:6" x14ac:dyDescent="0.25">
      <c r="A49">
        <f t="shared" si="1"/>
        <v>47</v>
      </c>
      <c r="B49" t="s">
        <v>36</v>
      </c>
      <c r="C49" t="s">
        <v>125</v>
      </c>
      <c r="D49" t="s">
        <v>184</v>
      </c>
    </row>
    <row r="50" spans="1:6" x14ac:dyDescent="0.25">
      <c r="A50">
        <f t="shared" si="1"/>
        <v>48</v>
      </c>
      <c r="B50" t="s">
        <v>37</v>
      </c>
      <c r="C50" t="s">
        <v>126</v>
      </c>
      <c r="D50" t="s">
        <v>215</v>
      </c>
      <c r="F50" t="s">
        <v>206</v>
      </c>
    </row>
    <row r="51" spans="1:6" x14ac:dyDescent="0.25">
      <c r="A51">
        <f t="shared" si="1"/>
        <v>49</v>
      </c>
      <c r="B51" t="s">
        <v>38</v>
      </c>
      <c r="C51" t="s">
        <v>127</v>
      </c>
      <c r="D51" t="s">
        <v>215</v>
      </c>
      <c r="E51" t="s">
        <v>201</v>
      </c>
      <c r="F51" t="s">
        <v>206</v>
      </c>
    </row>
    <row r="52" spans="1:6" x14ac:dyDescent="0.25">
      <c r="A52">
        <f t="shared" si="1"/>
        <v>50</v>
      </c>
      <c r="B52" t="s">
        <v>49</v>
      </c>
      <c r="C52" t="s">
        <v>170</v>
      </c>
      <c r="D52" t="s">
        <v>184</v>
      </c>
    </row>
    <row r="53" spans="1:6" x14ac:dyDescent="0.25">
      <c r="A53">
        <f t="shared" si="1"/>
        <v>51</v>
      </c>
      <c r="B53" t="s">
        <v>40</v>
      </c>
      <c r="C53" t="s">
        <v>128</v>
      </c>
      <c r="D53" t="s">
        <v>209</v>
      </c>
    </row>
    <row r="54" spans="1:6" x14ac:dyDescent="0.25">
      <c r="A54">
        <f t="shared" si="1"/>
        <v>52</v>
      </c>
      <c r="B54" t="s">
        <v>41</v>
      </c>
      <c r="C54" t="s">
        <v>129</v>
      </c>
      <c r="D54" t="s">
        <v>184</v>
      </c>
      <c r="E54" t="s">
        <v>201</v>
      </c>
    </row>
    <row r="55" spans="1:6" x14ac:dyDescent="0.25">
      <c r="A55">
        <f t="shared" si="1"/>
        <v>53</v>
      </c>
      <c r="B55" t="s">
        <v>42</v>
      </c>
      <c r="C55" t="s">
        <v>130</v>
      </c>
      <c r="D55" t="s">
        <v>184</v>
      </c>
    </row>
    <row r="56" spans="1:6" x14ac:dyDescent="0.25">
      <c r="A56">
        <f t="shared" si="1"/>
        <v>54</v>
      </c>
      <c r="B56" t="s">
        <v>43</v>
      </c>
      <c r="C56" t="s">
        <v>131</v>
      </c>
      <c r="D56" t="s">
        <v>184</v>
      </c>
    </row>
    <row r="57" spans="1:6" x14ac:dyDescent="0.25">
      <c r="A57">
        <f t="shared" si="1"/>
        <v>55</v>
      </c>
      <c r="B57" t="s">
        <v>44</v>
      </c>
      <c r="C57" t="s">
        <v>171</v>
      </c>
      <c r="D57" t="s">
        <v>184</v>
      </c>
    </row>
    <row r="58" spans="1:6" x14ac:dyDescent="0.25">
      <c r="A58">
        <f t="shared" si="1"/>
        <v>56</v>
      </c>
      <c r="B58" t="s">
        <v>45</v>
      </c>
      <c r="C58" t="s">
        <v>132</v>
      </c>
      <c r="D58" t="s">
        <v>209</v>
      </c>
    </row>
    <row r="59" spans="1:6" x14ac:dyDescent="0.25">
      <c r="A59">
        <f t="shared" si="1"/>
        <v>57</v>
      </c>
      <c r="B59" t="s">
        <v>46</v>
      </c>
      <c r="C59" t="s">
        <v>133</v>
      </c>
      <c r="D59" t="s">
        <v>184</v>
      </c>
      <c r="E59" t="s">
        <v>201</v>
      </c>
    </row>
    <row r="60" spans="1:6" x14ac:dyDescent="0.25">
      <c r="A60">
        <f t="shared" si="1"/>
        <v>58</v>
      </c>
      <c r="B60" t="s">
        <v>47</v>
      </c>
      <c r="C60" t="s">
        <v>134</v>
      </c>
      <c r="D60" t="s">
        <v>184</v>
      </c>
      <c r="E60" t="s">
        <v>202</v>
      </c>
      <c r="F60" t="s">
        <v>201</v>
      </c>
    </row>
    <row r="61" spans="1:6" x14ac:dyDescent="0.25">
      <c r="A61">
        <f t="shared" si="1"/>
        <v>59</v>
      </c>
      <c r="B61" t="s">
        <v>48</v>
      </c>
      <c r="C61" t="s">
        <v>135</v>
      </c>
      <c r="D61" t="s">
        <v>184</v>
      </c>
      <c r="E61" t="s">
        <v>201</v>
      </c>
    </row>
    <row r="62" spans="1:6" x14ac:dyDescent="0.25">
      <c r="A62">
        <f t="shared" si="1"/>
        <v>60</v>
      </c>
      <c r="B62" t="s">
        <v>59</v>
      </c>
      <c r="C62" t="s">
        <v>136</v>
      </c>
      <c r="D62" t="s">
        <v>184</v>
      </c>
    </row>
    <row r="63" spans="1:6" x14ac:dyDescent="0.25">
      <c r="A63">
        <f t="shared" si="1"/>
        <v>61</v>
      </c>
      <c r="B63" t="s">
        <v>50</v>
      </c>
      <c r="C63" t="s">
        <v>137</v>
      </c>
      <c r="D63" t="s">
        <v>186</v>
      </c>
      <c r="F63" t="s">
        <v>206</v>
      </c>
    </row>
    <row r="64" spans="1:6" x14ac:dyDescent="0.25">
      <c r="A64">
        <f t="shared" si="1"/>
        <v>62</v>
      </c>
      <c r="B64" t="s">
        <v>51</v>
      </c>
      <c r="C64" t="s">
        <v>138</v>
      </c>
      <c r="D64" t="s">
        <v>187</v>
      </c>
      <c r="F64" t="s">
        <v>207</v>
      </c>
    </row>
    <row r="65" spans="1:6" x14ac:dyDescent="0.25">
      <c r="A65">
        <f t="shared" si="1"/>
        <v>63</v>
      </c>
      <c r="B65" t="s">
        <v>52</v>
      </c>
      <c r="C65" t="s">
        <v>139</v>
      </c>
      <c r="D65" t="s">
        <v>187</v>
      </c>
      <c r="F65" t="s">
        <v>207</v>
      </c>
    </row>
    <row r="66" spans="1:6" x14ac:dyDescent="0.25">
      <c r="A66">
        <f t="shared" si="1"/>
        <v>64</v>
      </c>
      <c r="B66" t="s">
        <v>53</v>
      </c>
      <c r="C66" t="s">
        <v>140</v>
      </c>
      <c r="D66" t="s">
        <v>187</v>
      </c>
      <c r="E66" t="s">
        <v>201</v>
      </c>
      <c r="F66" t="s">
        <v>207</v>
      </c>
    </row>
    <row r="67" spans="1:6" x14ac:dyDescent="0.25">
      <c r="A67">
        <f t="shared" si="1"/>
        <v>65</v>
      </c>
      <c r="B67" t="s">
        <v>54</v>
      </c>
      <c r="C67" t="s">
        <v>172</v>
      </c>
      <c r="D67" t="s">
        <v>184</v>
      </c>
    </row>
    <row r="68" spans="1:6" x14ac:dyDescent="0.25">
      <c r="A68">
        <f t="shared" si="1"/>
        <v>66</v>
      </c>
      <c r="B68" t="s">
        <v>55</v>
      </c>
      <c r="C68" t="s">
        <v>173</v>
      </c>
      <c r="D68" t="s">
        <v>184</v>
      </c>
    </row>
    <row r="69" spans="1:6" x14ac:dyDescent="0.25">
      <c r="A69">
        <f t="shared" si="1"/>
        <v>67</v>
      </c>
      <c r="B69" t="s">
        <v>56</v>
      </c>
      <c r="C69" t="s">
        <v>174</v>
      </c>
      <c r="D69" t="s">
        <v>186</v>
      </c>
      <c r="E69" t="s">
        <v>201</v>
      </c>
      <c r="F69" t="s">
        <v>201</v>
      </c>
    </row>
    <row r="70" spans="1:6" x14ac:dyDescent="0.25">
      <c r="A70">
        <f t="shared" si="1"/>
        <v>68</v>
      </c>
      <c r="B70" t="s">
        <v>57</v>
      </c>
      <c r="C70" t="s">
        <v>141</v>
      </c>
      <c r="D70" t="s">
        <v>184</v>
      </c>
    </row>
    <row r="71" spans="1:6" x14ac:dyDescent="0.25">
      <c r="A71">
        <f t="shared" si="1"/>
        <v>69</v>
      </c>
      <c r="B71" t="s">
        <v>58</v>
      </c>
      <c r="C71" t="s">
        <v>142</v>
      </c>
      <c r="D71" t="s">
        <v>215</v>
      </c>
      <c r="F71" t="s">
        <v>206</v>
      </c>
    </row>
    <row r="72" spans="1:6" x14ac:dyDescent="0.25">
      <c r="A72">
        <f t="shared" si="1"/>
        <v>70</v>
      </c>
      <c r="B72" t="s">
        <v>69</v>
      </c>
      <c r="C72" t="s">
        <v>143</v>
      </c>
      <c r="D72" t="s">
        <v>184</v>
      </c>
    </row>
    <row r="73" spans="1:6" x14ac:dyDescent="0.25">
      <c r="A73">
        <f t="shared" si="1"/>
        <v>71</v>
      </c>
      <c r="B73" t="s">
        <v>60</v>
      </c>
      <c r="C73" t="s">
        <v>144</v>
      </c>
      <c r="D73" t="s">
        <v>186</v>
      </c>
      <c r="E73" t="s">
        <v>202</v>
      </c>
      <c r="F73" t="s">
        <v>201</v>
      </c>
    </row>
    <row r="74" spans="1:6" x14ac:dyDescent="0.25">
      <c r="A74">
        <f t="shared" si="1"/>
        <v>72</v>
      </c>
      <c r="B74" t="s">
        <v>61</v>
      </c>
      <c r="C74" t="s">
        <v>145</v>
      </c>
      <c r="D74" t="s">
        <v>187</v>
      </c>
      <c r="F74" t="s">
        <v>207</v>
      </c>
    </row>
    <row r="75" spans="1:6" x14ac:dyDescent="0.25">
      <c r="A75">
        <f t="shared" si="1"/>
        <v>73</v>
      </c>
      <c r="B75" t="s">
        <v>62</v>
      </c>
      <c r="C75" t="s">
        <v>146</v>
      </c>
      <c r="D75" t="s">
        <v>187</v>
      </c>
      <c r="F75" t="s">
        <v>207</v>
      </c>
    </row>
    <row r="76" spans="1:6" x14ac:dyDescent="0.25">
      <c r="A76">
        <f t="shared" ref="A76:A107" si="2">VALUE(MID(B76,2,2))</f>
        <v>74</v>
      </c>
      <c r="B76" t="s">
        <v>63</v>
      </c>
      <c r="C76" t="s">
        <v>147</v>
      </c>
      <c r="D76" t="s">
        <v>187</v>
      </c>
      <c r="E76" t="s">
        <v>201</v>
      </c>
      <c r="F76" t="s">
        <v>207</v>
      </c>
    </row>
    <row r="77" spans="1:6" x14ac:dyDescent="0.25">
      <c r="A77">
        <f t="shared" si="2"/>
        <v>75</v>
      </c>
      <c r="B77" t="s">
        <v>64</v>
      </c>
      <c r="C77" t="s">
        <v>148</v>
      </c>
      <c r="D77" t="s">
        <v>184</v>
      </c>
    </row>
    <row r="78" spans="1:6" x14ac:dyDescent="0.25">
      <c r="A78">
        <f t="shared" si="2"/>
        <v>76</v>
      </c>
      <c r="B78" t="s">
        <v>65</v>
      </c>
      <c r="C78" t="s">
        <v>149</v>
      </c>
      <c r="D78" t="s">
        <v>188</v>
      </c>
    </row>
    <row r="79" spans="1:6" x14ac:dyDescent="0.25">
      <c r="A79">
        <f t="shared" si="2"/>
        <v>77</v>
      </c>
      <c r="B79" t="s">
        <v>66</v>
      </c>
      <c r="C79" t="s">
        <v>175</v>
      </c>
      <c r="D79" t="s">
        <v>186</v>
      </c>
      <c r="F79" t="s">
        <v>201</v>
      </c>
    </row>
    <row r="80" spans="1:6" x14ac:dyDescent="0.25">
      <c r="A80">
        <f t="shared" si="2"/>
        <v>78</v>
      </c>
      <c r="B80" t="s">
        <v>67</v>
      </c>
      <c r="C80" t="s">
        <v>176</v>
      </c>
      <c r="D80" t="s">
        <v>184</v>
      </c>
      <c r="E80" t="s">
        <v>201</v>
      </c>
    </row>
    <row r="81" spans="1:6" x14ac:dyDescent="0.25">
      <c r="A81">
        <f t="shared" si="2"/>
        <v>79</v>
      </c>
      <c r="B81" t="s">
        <v>68</v>
      </c>
      <c r="C81" t="s">
        <v>177</v>
      </c>
      <c r="D81" t="s">
        <v>184</v>
      </c>
      <c r="E81" t="s">
        <v>201</v>
      </c>
    </row>
    <row r="82" spans="1:6" x14ac:dyDescent="0.25">
      <c r="A82">
        <f t="shared" si="2"/>
        <v>80</v>
      </c>
      <c r="B82" t="s">
        <v>79</v>
      </c>
      <c r="C82" t="s">
        <v>178</v>
      </c>
      <c r="D82" t="s">
        <v>184</v>
      </c>
    </row>
    <row r="83" spans="1:6" x14ac:dyDescent="0.25">
      <c r="A83">
        <f t="shared" si="2"/>
        <v>81</v>
      </c>
      <c r="B83" t="s">
        <v>70</v>
      </c>
      <c r="C83" t="s">
        <v>150</v>
      </c>
      <c r="D83" t="s">
        <v>184</v>
      </c>
    </row>
    <row r="84" spans="1:6" x14ac:dyDescent="0.25">
      <c r="A84">
        <f t="shared" si="2"/>
        <v>82</v>
      </c>
      <c r="B84" t="s">
        <v>71</v>
      </c>
      <c r="C84" t="s">
        <v>151</v>
      </c>
      <c r="D84" t="s">
        <v>189</v>
      </c>
    </row>
    <row r="85" spans="1:6" x14ac:dyDescent="0.25">
      <c r="A85">
        <f t="shared" si="2"/>
        <v>83</v>
      </c>
      <c r="B85" t="s">
        <v>72</v>
      </c>
      <c r="C85" t="s">
        <v>152</v>
      </c>
      <c r="D85" t="s">
        <v>187</v>
      </c>
      <c r="F85" t="s">
        <v>207</v>
      </c>
    </row>
    <row r="86" spans="1:6" x14ac:dyDescent="0.25">
      <c r="A86">
        <f t="shared" si="2"/>
        <v>84</v>
      </c>
      <c r="B86" t="s">
        <v>73</v>
      </c>
      <c r="C86" t="s">
        <v>153</v>
      </c>
      <c r="D86" t="s">
        <v>187</v>
      </c>
      <c r="F86" t="s">
        <v>207</v>
      </c>
    </row>
    <row r="87" spans="1:6" x14ac:dyDescent="0.25">
      <c r="A87">
        <f t="shared" si="2"/>
        <v>85</v>
      </c>
      <c r="B87" t="s">
        <v>74</v>
      </c>
      <c r="C87" t="s">
        <v>154</v>
      </c>
      <c r="D87" t="s">
        <v>184</v>
      </c>
    </row>
    <row r="88" spans="1:6" x14ac:dyDescent="0.25">
      <c r="A88">
        <f t="shared" si="2"/>
        <v>86</v>
      </c>
      <c r="B88" t="s">
        <v>75</v>
      </c>
      <c r="C88" t="s">
        <v>155</v>
      </c>
      <c r="D88" t="s">
        <v>215</v>
      </c>
      <c r="E88" t="s">
        <v>201</v>
      </c>
      <c r="F88" t="s">
        <v>201</v>
      </c>
    </row>
    <row r="89" spans="1:6" x14ac:dyDescent="0.25">
      <c r="A89">
        <f t="shared" si="2"/>
        <v>87</v>
      </c>
      <c r="B89" t="s">
        <v>76</v>
      </c>
      <c r="C89" t="s">
        <v>156</v>
      </c>
      <c r="D89" t="s">
        <v>210</v>
      </c>
      <c r="E89" t="s">
        <v>201</v>
      </c>
      <c r="F89" t="s">
        <v>205</v>
      </c>
    </row>
    <row r="90" spans="1:6" x14ac:dyDescent="0.25">
      <c r="A90">
        <f t="shared" si="2"/>
        <v>88</v>
      </c>
      <c r="B90" t="s">
        <v>77</v>
      </c>
      <c r="C90" t="s">
        <v>179</v>
      </c>
      <c r="D90" t="s">
        <v>184</v>
      </c>
      <c r="E90" t="s">
        <v>201</v>
      </c>
    </row>
    <row r="91" spans="1:6" x14ac:dyDescent="0.25">
      <c r="A91">
        <f t="shared" si="2"/>
        <v>89</v>
      </c>
      <c r="B91" t="s">
        <v>78</v>
      </c>
      <c r="C91" t="s">
        <v>180</v>
      </c>
      <c r="D91" t="s">
        <v>184</v>
      </c>
    </row>
    <row r="92" spans="1:6" x14ac:dyDescent="0.25">
      <c r="A92">
        <f t="shared" si="2"/>
        <v>90</v>
      </c>
      <c r="B92" t="s">
        <v>89</v>
      </c>
      <c r="C92" t="s">
        <v>181</v>
      </c>
      <c r="D92" t="s">
        <v>184</v>
      </c>
      <c r="E92" t="s">
        <v>201</v>
      </c>
    </row>
    <row r="93" spans="1:6" x14ac:dyDescent="0.25">
      <c r="A93">
        <f t="shared" si="2"/>
        <v>91</v>
      </c>
      <c r="B93" t="s">
        <v>80</v>
      </c>
      <c r="C93" t="s">
        <v>157</v>
      </c>
      <c r="D93" t="s">
        <v>184</v>
      </c>
    </row>
    <row r="94" spans="1:6" x14ac:dyDescent="0.25">
      <c r="A94">
        <f t="shared" si="2"/>
        <v>92</v>
      </c>
      <c r="B94" t="s">
        <v>81</v>
      </c>
      <c r="C94" t="s">
        <v>158</v>
      </c>
      <c r="D94" t="s">
        <v>184</v>
      </c>
    </row>
    <row r="95" spans="1:6" x14ac:dyDescent="0.25">
      <c r="A95">
        <f t="shared" si="2"/>
        <v>93</v>
      </c>
      <c r="B95" t="s">
        <v>82</v>
      </c>
      <c r="C95" t="s">
        <v>159</v>
      </c>
      <c r="D95" t="s">
        <v>184</v>
      </c>
    </row>
    <row r="96" spans="1:6" x14ac:dyDescent="0.25">
      <c r="A96">
        <f t="shared" si="2"/>
        <v>94</v>
      </c>
      <c r="B96" t="s">
        <v>83</v>
      </c>
      <c r="C96" t="s">
        <v>160</v>
      </c>
      <c r="D96" t="s">
        <v>184</v>
      </c>
    </row>
    <row r="97" spans="1:6" x14ac:dyDescent="0.25">
      <c r="A97">
        <f t="shared" si="2"/>
        <v>95</v>
      </c>
      <c r="B97" t="s">
        <v>84</v>
      </c>
      <c r="C97" t="s">
        <v>161</v>
      </c>
      <c r="D97" t="s">
        <v>184</v>
      </c>
    </row>
    <row r="98" spans="1:6" x14ac:dyDescent="0.25">
      <c r="A98">
        <f t="shared" si="2"/>
        <v>96</v>
      </c>
      <c r="B98" t="s">
        <v>85</v>
      </c>
      <c r="C98" t="s">
        <v>182</v>
      </c>
      <c r="D98" t="s">
        <v>184</v>
      </c>
      <c r="E98" t="s">
        <v>201</v>
      </c>
    </row>
    <row r="99" spans="1:6" x14ac:dyDescent="0.25">
      <c r="A99">
        <f t="shared" si="2"/>
        <v>97</v>
      </c>
      <c r="B99" t="s">
        <v>86</v>
      </c>
      <c r="C99" t="s">
        <v>162</v>
      </c>
      <c r="D99" t="s">
        <v>210</v>
      </c>
      <c r="E99" t="s">
        <v>201</v>
      </c>
      <c r="F99" t="s">
        <v>205</v>
      </c>
    </row>
    <row r="100" spans="1:6" x14ac:dyDescent="0.25">
      <c r="A100">
        <f t="shared" si="2"/>
        <v>98</v>
      </c>
      <c r="B100" t="s">
        <v>87</v>
      </c>
      <c r="C100" t="s">
        <v>163</v>
      </c>
      <c r="D100" t="s">
        <v>184</v>
      </c>
      <c r="E100" s="1" t="s">
        <v>203</v>
      </c>
    </row>
    <row r="101" spans="1:6" x14ac:dyDescent="0.25">
      <c r="A101">
        <f t="shared" si="2"/>
        <v>99</v>
      </c>
      <c r="B101" t="s">
        <v>88</v>
      </c>
      <c r="C101" t="s">
        <v>164</v>
      </c>
      <c r="D101" t="s">
        <v>184</v>
      </c>
      <c r="E101" t="s">
        <v>203</v>
      </c>
    </row>
  </sheetData>
  <autoFilter ref="A1:F101" xr:uid="{740F8AED-F224-4E04-9363-190526C87892}"/>
  <sortState xmlns:xlrd2="http://schemas.microsoft.com/office/spreadsheetml/2017/richdata2" ref="A2:C101">
    <sortCondition ref="A12:A10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92D3-5B2F-473F-BBC5-869C1AD47028}">
  <dimension ref="A3:B14"/>
  <sheetViews>
    <sheetView workbookViewId="0">
      <selection activeCell="B5" sqref="B5"/>
    </sheetView>
  </sheetViews>
  <sheetFormatPr defaultRowHeight="15" x14ac:dyDescent="0.25"/>
  <cols>
    <col min="1" max="1" width="25.5703125" bestFit="1" customWidth="1"/>
    <col min="2" max="2" width="20" bestFit="1" customWidth="1"/>
  </cols>
  <sheetData>
    <row r="3" spans="1:2" x14ac:dyDescent="0.25">
      <c r="A3" s="4" t="s">
        <v>212</v>
      </c>
      <c r="B3" t="s">
        <v>214</v>
      </c>
    </row>
    <row r="4" spans="1:2" x14ac:dyDescent="0.25">
      <c r="A4" s="5" t="s">
        <v>184</v>
      </c>
      <c r="B4" s="6">
        <v>67</v>
      </c>
    </row>
    <row r="5" spans="1:2" x14ac:dyDescent="0.25">
      <c r="A5" s="5" t="s">
        <v>187</v>
      </c>
      <c r="B5" s="6">
        <v>8</v>
      </c>
    </row>
    <row r="6" spans="1:2" x14ac:dyDescent="0.25">
      <c r="A6" s="5" t="s">
        <v>211</v>
      </c>
      <c r="B6" s="6">
        <v>1</v>
      </c>
    </row>
    <row r="7" spans="1:2" x14ac:dyDescent="0.25">
      <c r="A7" s="5" t="s">
        <v>208</v>
      </c>
      <c r="B7" s="6">
        <v>1</v>
      </c>
    </row>
    <row r="8" spans="1:2" x14ac:dyDescent="0.25">
      <c r="A8" s="5" t="s">
        <v>186</v>
      </c>
      <c r="B8" s="6">
        <v>4</v>
      </c>
    </row>
    <row r="9" spans="1:2" x14ac:dyDescent="0.25">
      <c r="A9" s="5" t="s">
        <v>188</v>
      </c>
      <c r="B9" s="6">
        <v>1</v>
      </c>
    </row>
    <row r="10" spans="1:2" x14ac:dyDescent="0.25">
      <c r="A10" s="5" t="s">
        <v>209</v>
      </c>
      <c r="B10" s="6">
        <v>7</v>
      </c>
    </row>
    <row r="11" spans="1:2" x14ac:dyDescent="0.25">
      <c r="A11" s="5" t="s">
        <v>210</v>
      </c>
      <c r="B11" s="6">
        <v>2</v>
      </c>
    </row>
    <row r="12" spans="1:2" x14ac:dyDescent="0.25">
      <c r="A12" s="5" t="s">
        <v>189</v>
      </c>
      <c r="B12" s="6">
        <v>1</v>
      </c>
    </row>
    <row r="13" spans="1:2" x14ac:dyDescent="0.25">
      <c r="A13" s="5" t="s">
        <v>185</v>
      </c>
      <c r="B13" s="6">
        <v>8</v>
      </c>
    </row>
    <row r="14" spans="1:2" x14ac:dyDescent="0.25">
      <c r="A14" s="5" t="s">
        <v>213</v>
      </c>
      <c r="B14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 table</vt:lpstr>
      <vt:lpstr>TC Count per Syntax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Violent</dc:creator>
  <cp:lastModifiedBy>Pierre Violent</cp:lastModifiedBy>
  <dcterms:created xsi:type="dcterms:W3CDTF">2025-11-15T10:54:13Z</dcterms:created>
  <dcterms:modified xsi:type="dcterms:W3CDTF">2025-11-16T23:17:24Z</dcterms:modified>
</cp:coreProperties>
</file>