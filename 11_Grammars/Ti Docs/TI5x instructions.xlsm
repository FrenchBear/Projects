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evelopment\GitHub\Projects\11_Grammars\Ti Docs\"/>
    </mc:Choice>
  </mc:AlternateContent>
  <xr:revisionPtr revIDLastSave="0" documentId="13_ncr:1_{C88D3C5F-FB05-470A-AE22-D8C4A9152A3D}" xr6:coauthVersionLast="47" xr6:coauthVersionMax="47" xr10:uidLastSave="{00000000-0000-0000-0000-000000000000}"/>
  <bookViews>
    <workbookView xWindow="23820" yWindow="1005" windowWidth="31440" windowHeight="29505" xr2:uid="{874B4454-468C-42B1-9C93-511E4410BC3F}"/>
  </bookViews>
  <sheets>
    <sheet name="Instructions table" sheetId="1" r:id="rId1"/>
    <sheet name="TC Count per Syntax" sheetId="2" r:id="rId2"/>
  </sheets>
  <functionGroups builtInGroupCount="19"/>
  <definedNames>
    <definedName name="_xlnm._FilterDatabase" localSheetId="0" hidden="1">'Instructions table'!$A$1:$E$101</definedName>
  </definedNames>
  <calcPr calcId="191029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1" l="1" a="1"/>
  <c r="G25" i="1" a="1"/>
  <c r="G31" i="1" a="1"/>
  <c r="G37" i="1" a="1"/>
  <c r="G43" i="1" a="1"/>
  <c r="G49" i="1" a="1"/>
  <c r="G55" i="1" a="1"/>
  <c r="G61" i="1" a="1"/>
  <c r="G73" i="1" a="1"/>
  <c r="G79" i="1" a="1"/>
  <c r="G85" i="1" a="1"/>
  <c r="G91" i="1" a="1"/>
  <c r="G97" i="1" a="1"/>
  <c r="G103" i="1" a="1"/>
  <c r="G14" i="1" a="1"/>
  <c r="G26" i="1" a="1"/>
  <c r="G32" i="1" a="1"/>
  <c r="G38" i="1" a="1"/>
  <c r="G44" i="1" a="1"/>
  <c r="G50" i="1" a="1"/>
  <c r="G56" i="1" a="1"/>
  <c r="G62" i="1" a="1"/>
  <c r="G68" i="1" a="1"/>
  <c r="G74" i="1" a="1"/>
  <c r="G86" i="1" a="1"/>
  <c r="G92" i="1" a="1"/>
  <c r="G98" i="1" a="1"/>
  <c r="G104" i="1" a="1"/>
  <c r="G15" i="1" a="1"/>
  <c r="G40" i="1" a="1"/>
  <c r="G72" i="1" a="1"/>
  <c r="G96" i="1" a="1"/>
  <c r="G105" i="1" a="1"/>
  <c r="G23" i="1" a="1"/>
  <c r="G48" i="1" a="1"/>
  <c r="G65" i="1" a="1"/>
  <c r="G33" i="1" a="1"/>
  <c r="G16" i="1" a="1"/>
  <c r="G41" i="1" a="1"/>
  <c r="G58" i="1" a="1"/>
  <c r="G106" i="1" a="1"/>
  <c r="G24" i="1" a="1"/>
  <c r="G51" i="1" a="1"/>
  <c r="G66" i="1" a="1"/>
  <c r="G75" i="1" a="1"/>
  <c r="G90" i="1" a="1"/>
  <c r="G99" i="1" a="1"/>
  <c r="G17" i="1" a="1"/>
  <c r="G42" i="1" a="1"/>
  <c r="G59" i="1" a="1"/>
  <c r="G83" i="1" a="1"/>
  <c r="G27" i="1" a="1"/>
  <c r="G69" i="1" a="1"/>
  <c r="G28" i="1" a="1"/>
  <c r="G46" i="1" a="1"/>
  <c r="G63" i="1" a="1"/>
  <c r="G87" i="1" a="1"/>
  <c r="G102" i="1" a="1"/>
  <c r="G71" i="1" a="1"/>
  <c r="G64" i="1" a="1"/>
  <c r="G82" i="1" a="1"/>
  <c r="G52" i="1" a="1"/>
  <c r="G76" i="1" a="1"/>
  <c r="G100" i="1" a="1"/>
  <c r="G35" i="1" a="1"/>
  <c r="G60" i="1" a="1"/>
  <c r="G84" i="1" a="1"/>
  <c r="G93" i="1" a="1"/>
  <c r="G45" i="1" a="1"/>
  <c r="G53" i="1" a="1"/>
  <c r="G77" i="1" a="1"/>
  <c r="G101" i="1" a="1"/>
  <c r="G70" i="1" a="1"/>
  <c r="G94" i="1" a="1"/>
  <c r="G54" i="1" a="1"/>
  <c r="G95" i="1" a="1"/>
  <c r="G30" i="1" a="1"/>
  <c r="G78" i="1" a="1"/>
  <c r="G36" i="1" a="1"/>
  <c r="H13" i="1" a="1"/>
  <c r="H25" i="1" a="1"/>
  <c r="H31" i="1" a="1"/>
  <c r="H43" i="1" a="1"/>
  <c r="H55" i="1" a="1"/>
  <c r="H91" i="1" a="1"/>
  <c r="H103" i="1" a="1"/>
  <c r="H32" i="1" a="1"/>
  <c r="H44" i="1" a="1"/>
  <c r="H56" i="1" a="1"/>
  <c r="H68" i="1" a="1"/>
  <c r="H92" i="1" a="1"/>
  <c r="H104" i="1" a="1"/>
  <c r="H33" i="1" a="1"/>
  <c r="H45" i="1" a="1"/>
  <c r="H69" i="1" a="1"/>
  <c r="H93" i="1" a="1"/>
  <c r="H105" i="1" a="1"/>
  <c r="H46" i="1" a="1"/>
  <c r="H58" i="1" a="1"/>
  <c r="H70" i="1" a="1"/>
  <c r="H82" i="1" a="1"/>
  <c r="H94" i="1" a="1"/>
  <c r="H106" i="1" a="1"/>
  <c r="H23" i="1" a="1"/>
  <c r="H35" i="1" a="1"/>
  <c r="H59" i="1" a="1"/>
  <c r="H71" i="1" a="1"/>
  <c r="H83" i="1" a="1"/>
  <c r="H95" i="1" a="1"/>
  <c r="H24" i="1" a="1"/>
  <c r="H36" i="1" a="1"/>
  <c r="H48" i="1" a="1"/>
  <c r="H60" i="1" a="1"/>
  <c r="H72" i="1" a="1"/>
  <c r="H84" i="1" a="1"/>
  <c r="H96" i="1" a="1"/>
  <c r="H64" i="1" a="1"/>
  <c r="H40" i="1" a="1"/>
  <c r="H65" i="1" a="1"/>
  <c r="H90" i="1" a="1"/>
  <c r="H97" i="1" a="1"/>
  <c r="H41" i="1" a="1"/>
  <c r="H66" i="1" a="1"/>
  <c r="H16" i="1" a="1"/>
  <c r="H17" i="1" a="1"/>
  <c r="H99" i="1" a="1"/>
  <c r="H100" i="1" a="1"/>
  <c r="H101" i="1" a="1"/>
  <c r="H102" i="1" a="1"/>
  <c r="H62" i="1" a="1"/>
  <c r="H14" i="1" a="1"/>
  <c r="H98" i="1" a="1"/>
  <c r="H49" i="1" a="1"/>
  <c r="H50" i="1" a="1"/>
  <c r="H51" i="1" a="1"/>
  <c r="H77" i="1" a="1"/>
  <c r="H78" i="1" a="1"/>
  <c r="H85" i="1" a="1"/>
  <c r="H61" i="1" a="1"/>
  <c r="H87" i="1" a="1"/>
  <c r="H63" i="1" a="1"/>
  <c r="H73" i="1" a="1"/>
  <c r="H75" i="1" a="1"/>
  <c r="H76" i="1" a="1"/>
  <c r="H52" i="1" a="1"/>
  <c r="H53" i="1" a="1"/>
  <c r="H54" i="1" a="1"/>
  <c r="H30" i="1" a="1"/>
  <c r="H15" i="1" a="1"/>
  <c r="H42" i="1" a="1"/>
  <c r="H74" i="1" a="1"/>
  <c r="H26" i="1" a="1"/>
  <c r="H27" i="1" a="1"/>
  <c r="H28" i="1" a="1"/>
  <c r="H86" i="1" a="1"/>
  <c r="H37" i="1" a="1"/>
  <c r="H38" i="1" a="1"/>
  <c r="G80" i="1" a="1"/>
  <c r="H80" i="1" a="1"/>
  <c r="G81" i="1" a="1"/>
  <c r="H81" i="1" a="1"/>
  <c r="G39" i="1" a="1"/>
  <c r="H39" i="1" a="1"/>
  <c r="H89" i="1" a="1"/>
  <c r="G89" i="1" a="1"/>
  <c r="H88" i="1" a="1"/>
  <c r="G88" i="1" a="1"/>
  <c r="H67" i="1" a="1"/>
  <c r="G67" i="1" a="1"/>
  <c r="G57" i="1" a="1"/>
  <c r="H57" i="1" a="1"/>
  <c r="H34" i="1" a="1"/>
  <c r="G34" i="1" a="1"/>
  <c r="H47" i="1" a="1"/>
  <c r="G47" i="1" a="1"/>
  <c r="H79" i="1" a="1"/>
  <c r="G29" i="1" a="1"/>
  <c r="H29" i="1" a="1"/>
  <c r="H22" i="1" a="1"/>
  <c r="G22" i="1" a="1"/>
  <c r="G21" i="1" a="1"/>
  <c r="H21" i="1" a="1"/>
  <c r="H20" i="1" a="1"/>
  <c r="G20" i="1" a="1"/>
  <c r="H19" i="1" a="1"/>
  <c r="G19" i="1" a="1"/>
  <c r="G18" i="1" a="1"/>
  <c r="H18" i="1" a="1"/>
  <c r="H12" i="1" a="1"/>
  <c r="G12" i="1" a="1"/>
  <c r="H38" i="1" l="1"/>
  <c r="H37" i="1"/>
  <c r="H86" i="1"/>
  <c r="H29" i="1"/>
  <c r="H28" i="1"/>
  <c r="H27" i="1"/>
  <c r="H26" i="1"/>
  <c r="H18" i="1"/>
  <c r="H74" i="1"/>
  <c r="H42" i="1"/>
  <c r="H15" i="1"/>
  <c r="H30" i="1"/>
  <c r="H54" i="1"/>
  <c r="H53" i="1"/>
  <c r="H52" i="1"/>
  <c r="H76" i="1"/>
  <c r="H75" i="1"/>
  <c r="H73" i="1"/>
  <c r="H63" i="1"/>
  <c r="H87" i="1"/>
  <c r="H61" i="1"/>
  <c r="H85" i="1"/>
  <c r="H78" i="1"/>
  <c r="H77" i="1"/>
  <c r="H51" i="1"/>
  <c r="H50" i="1"/>
  <c r="H49" i="1"/>
  <c r="H98" i="1"/>
  <c r="H14" i="1"/>
  <c r="H88" i="1"/>
  <c r="H62" i="1"/>
  <c r="H102" i="1"/>
  <c r="H101" i="1"/>
  <c r="H100" i="1"/>
  <c r="H99" i="1"/>
  <c r="H17" i="1"/>
  <c r="H16" i="1"/>
  <c r="H66" i="1"/>
  <c r="H41" i="1"/>
  <c r="H97" i="1"/>
  <c r="H90" i="1"/>
  <c r="H65" i="1"/>
  <c r="H40" i="1"/>
  <c r="H89" i="1"/>
  <c r="H64" i="1"/>
  <c r="H39" i="1"/>
  <c r="H96" i="1"/>
  <c r="H84" i="1"/>
  <c r="H72" i="1"/>
  <c r="H60" i="1"/>
  <c r="H48" i="1"/>
  <c r="H36" i="1"/>
  <c r="H24" i="1"/>
  <c r="H95" i="1"/>
  <c r="H83" i="1"/>
  <c r="H71" i="1"/>
  <c r="H59" i="1"/>
  <c r="H47" i="1"/>
  <c r="H35" i="1"/>
  <c r="H23" i="1"/>
  <c r="H106" i="1"/>
  <c r="H94" i="1"/>
  <c r="H82" i="1"/>
  <c r="H70" i="1"/>
  <c r="H58" i="1"/>
  <c r="H46" i="1"/>
  <c r="H34" i="1"/>
  <c r="H22" i="1"/>
  <c r="H105" i="1"/>
  <c r="H93" i="1"/>
  <c r="H81" i="1"/>
  <c r="H69" i="1"/>
  <c r="H57" i="1"/>
  <c r="H45" i="1"/>
  <c r="H33" i="1"/>
  <c r="H21" i="1"/>
  <c r="H104" i="1"/>
  <c r="H92" i="1"/>
  <c r="H80" i="1"/>
  <c r="H68" i="1"/>
  <c r="H56" i="1"/>
  <c r="H44" i="1"/>
  <c r="H32" i="1"/>
  <c r="H20" i="1"/>
  <c r="H103" i="1"/>
  <c r="H91" i="1"/>
  <c r="H79" i="1"/>
  <c r="H67" i="1"/>
  <c r="H55" i="1"/>
  <c r="H43" i="1"/>
  <c r="H31" i="1"/>
  <c r="H19" i="1"/>
  <c r="H25" i="1"/>
  <c r="H13" i="1"/>
  <c r="H12" i="1"/>
  <c r="G36" i="1"/>
  <c r="G78" i="1"/>
  <c r="G30" i="1"/>
  <c r="G47" i="1"/>
  <c r="G29" i="1"/>
  <c r="G22" i="1"/>
  <c r="G95" i="1"/>
  <c r="G39" i="1"/>
  <c r="G54" i="1"/>
  <c r="G21" i="1"/>
  <c r="G94" i="1"/>
  <c r="G70" i="1"/>
  <c r="G101" i="1"/>
  <c r="G77" i="1"/>
  <c r="G53" i="1"/>
  <c r="G45" i="1"/>
  <c r="G93" i="1"/>
  <c r="G84" i="1"/>
  <c r="G60" i="1"/>
  <c r="G35" i="1"/>
  <c r="G100" i="1"/>
  <c r="G76" i="1"/>
  <c r="G52" i="1"/>
  <c r="G82" i="1"/>
  <c r="G88" i="1"/>
  <c r="G64" i="1"/>
  <c r="G71" i="1"/>
  <c r="G102" i="1"/>
  <c r="G87" i="1"/>
  <c r="G63" i="1"/>
  <c r="G46" i="1"/>
  <c r="G28" i="1"/>
  <c r="G69" i="1"/>
  <c r="G18" i="1"/>
  <c r="G27" i="1"/>
  <c r="G83" i="1"/>
  <c r="G59" i="1"/>
  <c r="G42" i="1"/>
  <c r="G17" i="1"/>
  <c r="G34" i="1"/>
  <c r="G99" i="1"/>
  <c r="G90" i="1"/>
  <c r="G75" i="1"/>
  <c r="G66" i="1"/>
  <c r="G51" i="1"/>
  <c r="G24" i="1"/>
  <c r="G106" i="1"/>
  <c r="G58" i="1"/>
  <c r="G41" i="1"/>
  <c r="G16" i="1"/>
  <c r="G33" i="1"/>
  <c r="G89" i="1"/>
  <c r="G65" i="1"/>
  <c r="G48" i="1"/>
  <c r="G23" i="1"/>
  <c r="G105" i="1"/>
  <c r="G96" i="1"/>
  <c r="G81" i="1"/>
  <c r="G72" i="1"/>
  <c r="G57" i="1"/>
  <c r="G40" i="1"/>
  <c r="G15" i="1"/>
  <c r="G104" i="1"/>
  <c r="G98" i="1"/>
  <c r="G92" i="1"/>
  <c r="G86" i="1"/>
  <c r="G80" i="1"/>
  <c r="G74" i="1"/>
  <c r="G68" i="1"/>
  <c r="G62" i="1"/>
  <c r="G56" i="1"/>
  <c r="G50" i="1"/>
  <c r="G44" i="1"/>
  <c r="G38" i="1"/>
  <c r="G32" i="1"/>
  <c r="G26" i="1"/>
  <c r="G20" i="1"/>
  <c r="G14" i="1"/>
  <c r="G103" i="1"/>
  <c r="G97" i="1"/>
  <c r="G91" i="1"/>
  <c r="G85" i="1"/>
  <c r="G79" i="1"/>
  <c r="G73" i="1"/>
  <c r="G67" i="1"/>
  <c r="G61" i="1"/>
  <c r="G55" i="1"/>
  <c r="G49" i="1"/>
  <c r="G43" i="1"/>
  <c r="G37" i="1"/>
  <c r="G31" i="1"/>
  <c r="G25" i="1"/>
  <c r="G19" i="1"/>
  <c r="G13" i="1"/>
  <c r="G1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<sst xmlns="http://schemas.openxmlformats.org/spreadsheetml/2006/main" count="322" uniqueCount="223">
  <si>
    <t>I11_a</t>
  </si>
  <si>
    <t>I12_b</t>
  </si>
  <si>
    <t>I13_c</t>
  </si>
  <si>
    <t>I14_d</t>
  </si>
  <si>
    <t>I15_e</t>
  </si>
  <si>
    <t>I16_a_prime</t>
  </si>
  <si>
    <t>I17_b_prime</t>
  </si>
  <si>
    <t>I18_c_prime</t>
  </si>
  <si>
    <t>I19_d_prime</t>
  </si>
  <si>
    <t>I10_e_prime</t>
  </si>
  <si>
    <t>I21_2nd</t>
  </si>
  <si>
    <t>I22_invert</t>
  </si>
  <si>
    <t>I23_ln</t>
  </si>
  <si>
    <t>I24_correct_entry</t>
  </si>
  <si>
    <t>I25_clear</t>
  </si>
  <si>
    <t>I26_2nd_2nd</t>
  </si>
  <si>
    <t>I27_2nd_invert</t>
  </si>
  <si>
    <t>I28_log</t>
  </si>
  <si>
    <t>I29_clear_program</t>
  </si>
  <si>
    <t>I20_2nd_clear</t>
  </si>
  <si>
    <t>I31_learn</t>
  </si>
  <si>
    <t>I32_exchange_x_and_t</t>
  </si>
  <si>
    <t>I33_square</t>
  </si>
  <si>
    <t>I34_square_root</t>
  </si>
  <si>
    <t>I35_reciprocal</t>
  </si>
  <si>
    <t>I36_program</t>
  </si>
  <si>
    <t>I37_polar_to_rectangular</t>
  </si>
  <si>
    <t>I38_sin</t>
  </si>
  <si>
    <t>I39_cos</t>
  </si>
  <si>
    <t>I30_tan</t>
  </si>
  <si>
    <t>I41_single_step</t>
  </si>
  <si>
    <t>I42_store</t>
  </si>
  <si>
    <t>I43_recall</t>
  </si>
  <si>
    <t>I44_sum</t>
  </si>
  <si>
    <t>I45_power</t>
  </si>
  <si>
    <t>I46_insert</t>
  </si>
  <si>
    <t>I47_clear_memory</t>
  </si>
  <si>
    <t>I48_exchange</t>
  </si>
  <si>
    <t>I49_product</t>
  </si>
  <si>
    <t>I40_indirect</t>
  </si>
  <si>
    <t>I51_backstep</t>
  </si>
  <si>
    <t>I52_exponent</t>
  </si>
  <si>
    <t>I53_left_parenthesis</t>
  </si>
  <si>
    <t>I54_right_parenthesis</t>
  </si>
  <si>
    <t>I55_divide</t>
  </si>
  <si>
    <t>I56_delete</t>
  </si>
  <si>
    <t>I57_engineering</t>
  </si>
  <si>
    <t>I58_fix</t>
  </si>
  <si>
    <t>I59_integer</t>
  </si>
  <si>
    <t>I50_absolute</t>
  </si>
  <si>
    <t>I61_goto</t>
  </si>
  <si>
    <t>I62_program_indirect</t>
  </si>
  <si>
    <t>I63_exchange_indirect</t>
  </si>
  <si>
    <t>I64_product_indirect</t>
  </si>
  <si>
    <t>I65_multiply</t>
  </si>
  <si>
    <t>I66_pause</t>
  </si>
  <si>
    <t>I67_x_equals_t</t>
  </si>
  <si>
    <t>I68_nop</t>
  </si>
  <si>
    <t>I69_operation</t>
  </si>
  <si>
    <t>I60_degrees</t>
  </si>
  <si>
    <t>I71_subroutine</t>
  </si>
  <si>
    <t>I72_store_indirect</t>
  </si>
  <si>
    <t>I73_recall_indirect</t>
  </si>
  <si>
    <t>I74_sum_indirect</t>
  </si>
  <si>
    <t>I75_subtract</t>
  </si>
  <si>
    <t>I76_label</t>
  </si>
  <si>
    <t>I77_x_greater_or_equal_than_t</t>
  </si>
  <si>
    <t>I78_sigma_plus</t>
  </si>
  <si>
    <t>I79_average</t>
  </si>
  <si>
    <t>I70_radians</t>
  </si>
  <si>
    <t>I81_reset</t>
  </si>
  <si>
    <t>I82_hir</t>
  </si>
  <si>
    <t>I83_goto_indirect</t>
  </si>
  <si>
    <t>I84_operation_indirect</t>
  </si>
  <si>
    <t>I85_add</t>
  </si>
  <si>
    <t>I86_set_flag</t>
  </si>
  <si>
    <t>I87_if_flag</t>
  </si>
  <si>
    <t>I88_dms</t>
  </si>
  <si>
    <t>I89_pi</t>
  </si>
  <si>
    <t>I80_grades</t>
  </si>
  <si>
    <t>I91_run_stop</t>
  </si>
  <si>
    <t>I92_return</t>
  </si>
  <si>
    <t>I93_dot</t>
  </si>
  <si>
    <t>I94_change_sign</t>
  </si>
  <si>
    <t>I95_equals</t>
  </si>
  <si>
    <t>I96_write</t>
  </si>
  <si>
    <t>I97_dsz</t>
  </si>
  <si>
    <t>I98_advance</t>
  </si>
  <si>
    <t>I99_print</t>
  </si>
  <si>
    <t>I90_list</t>
  </si>
  <si>
    <t>Mnemonics</t>
  </si>
  <si>
    <t>A</t>
  </si>
  <si>
    <t>B</t>
  </si>
  <si>
    <t>C</t>
  </si>
  <si>
    <t>D</t>
  </si>
  <si>
    <t>E</t>
  </si>
  <si>
    <t>INV</t>
  </si>
  <si>
    <t>lnx</t>
  </si>
  <si>
    <t>CE</t>
  </si>
  <si>
    <t>CLR</t>
  </si>
  <si>
    <t>log</t>
  </si>
  <si>
    <t>CP</t>
  </si>
  <si>
    <t>tan</t>
  </si>
  <si>
    <t>1/x</t>
  </si>
  <si>
    <t>Pgm</t>
  </si>
  <si>
    <t>sin</t>
  </si>
  <si>
    <t>cos</t>
  </si>
  <si>
    <t>Ind</t>
  </si>
  <si>
    <t>STO</t>
  </si>
  <si>
    <t>RCL</t>
  </si>
  <si>
    <t>SUM</t>
  </si>
  <si>
    <t>CMs</t>
  </si>
  <si>
    <t>Exc</t>
  </si>
  <si>
    <t>Prd</t>
  </si>
  <si>
    <t>EE</t>
  </si>
  <si>
    <t>(</t>
  </si>
  <si>
    <t>)</t>
  </si>
  <si>
    <t>Eng</t>
  </si>
  <si>
    <t>Fix</t>
  </si>
  <si>
    <t>Int</t>
  </si>
  <si>
    <t>Deg</t>
  </si>
  <si>
    <t>GTO</t>
  </si>
  <si>
    <t>PG*</t>
  </si>
  <si>
    <t>EX*</t>
  </si>
  <si>
    <t>PD*</t>
  </si>
  <si>
    <t>Nop</t>
  </si>
  <si>
    <t>Op</t>
  </si>
  <si>
    <t>Rad</t>
  </si>
  <si>
    <t>SBR</t>
  </si>
  <si>
    <t>ST*</t>
  </si>
  <si>
    <t>RC*</t>
  </si>
  <si>
    <t>SM*</t>
  </si>
  <si>
    <t>-</t>
  </si>
  <si>
    <t>Lbl</t>
  </si>
  <si>
    <t>RST</t>
  </si>
  <si>
    <t>HIR</t>
  </si>
  <si>
    <t>GO*</t>
  </si>
  <si>
    <t>Op*</t>
  </si>
  <si>
    <t>+</t>
  </si>
  <si>
    <t>R/S</t>
  </si>
  <si>
    <t>RTN</t>
  </si>
  <si>
    <t>.</t>
  </si>
  <si>
    <t>+/-</t>
  </si>
  <si>
    <t>=</t>
  </si>
  <si>
    <t>Dsz</t>
  </si>
  <si>
    <t>Adv</t>
  </si>
  <si>
    <t>Prt</t>
  </si>
  <si>
    <t>Syntax</t>
  </si>
  <si>
    <t>Atomic</t>
  </si>
  <si>
    <t>Register or indirect</t>
  </si>
  <si>
    <t>Label or address or indirect</t>
  </si>
  <si>
    <t>Indirect</t>
  </si>
  <si>
    <t>Label prefix</t>
  </si>
  <si>
    <t>Register</t>
  </si>
  <si>
    <t>0</t>
  </si>
  <si>
    <t>2</t>
  </si>
  <si>
    <t>3</t>
  </si>
  <si>
    <t>4</t>
  </si>
  <si>
    <t>5</t>
  </si>
  <si>
    <t>6</t>
  </si>
  <si>
    <t>7</t>
  </si>
  <si>
    <t>8</t>
  </si>
  <si>
    <t>9</t>
  </si>
  <si>
    <t>1</t>
  </si>
  <si>
    <t>Invertible</t>
  </si>
  <si>
    <t>Invert prefix or combined</t>
  </si>
  <si>
    <t>Only label tag</t>
  </si>
  <si>
    <t>Reg/Ind, Label/Address/Inc</t>
  </si>
  <si>
    <t>Indirect prefix or combined</t>
  </si>
  <si>
    <t>Row Labels</t>
  </si>
  <si>
    <t>Grand Total</t>
  </si>
  <si>
    <t>Count of Mnemonics</t>
  </si>
  <si>
    <t>a: atomic</t>
  </si>
  <si>
    <t>b: branch target</t>
  </si>
  <si>
    <t>i: Indirect</t>
  </si>
  <si>
    <t>m: mnemonic</t>
  </si>
  <si>
    <t>d: direct</t>
  </si>
  <si>
    <t>di: direct or indirect</t>
  </si>
  <si>
    <t>Remarks</t>
  </si>
  <si>
    <t>Prefix</t>
  </si>
  <si>
    <t>Only inside inst</t>
  </si>
  <si>
    <t>Atomic inverse</t>
  </si>
  <si>
    <t>IndMerged</t>
  </si>
  <si>
    <t>p: prefix</t>
  </si>
  <si>
    <t>dib: di, b</t>
  </si>
  <si>
    <t>Vocab</t>
  </si>
  <si>
    <t>I2223_e_power_x</t>
  </si>
  <si>
    <t>I2228_10_power_x</t>
  </si>
  <si>
    <t>I6740_x_equals_t_indirect</t>
  </si>
  <si>
    <t>EQ*</t>
  </si>
  <si>
    <t>I7740_x_greater_or_equal_than_t_indirect</t>
  </si>
  <si>
    <t>GE*</t>
  </si>
  <si>
    <t>TIKeys</t>
  </si>
  <si>
    <t>x²;x^2;X2</t>
  </si>
  <si>
    <t>Pause;PAU</t>
  </si>
  <si>
    <t>x=t;EQ</t>
  </si>
  <si>
    <t>x≥t;x&gt;=t;GE</t>
  </si>
  <si>
    <t>Grad;GRD</t>
  </si>
  <si>
    <t>D.MS;DMS</t>
  </si>
  <si>
    <t>π;PI</t>
  </si>
  <si>
    <t>List;LST</t>
  </si>
  <si>
    <t>Write;Wrt</t>
  </si>
  <si>
    <t>eˣ;e^x</t>
  </si>
  <si>
    <t>10ˣ;10^x</t>
  </si>
  <si>
    <t>|x|;ABS;IXI</t>
  </si>
  <si>
    <t>√;√x;SQRT;SQR</t>
  </si>
  <si>
    <t>SQR for T59 ML</t>
  </si>
  <si>
    <t>÷;/</t>
  </si>
  <si>
    <t>×;*</t>
  </si>
  <si>
    <t>STF;stflg</t>
  </si>
  <si>
    <t>IFF;ifflg</t>
  </si>
  <si>
    <t>x↔t;x⇄t;x≷t;x&lt;&gt;t;x/t;x-t;x~t;x⇌t;x%t</t>
  </si>
  <si>
    <t>P→R;P-&gt;R;P/R;P-R</t>
  </si>
  <si>
    <t>yˣ;^;y^x;YX;**;y**x;pow</t>
  </si>
  <si>
    <t>x̄;AVG;AVR;Mean;mean(x)</t>
  </si>
  <si>
    <t>Σ+;∑+;SIG+;STA;Sigma;S+</t>
  </si>
  <si>
    <t>E';E´</t>
  </si>
  <si>
    <t>A';A´</t>
  </si>
  <si>
    <t>B';B´</t>
  </si>
  <si>
    <t>C';C´</t>
  </si>
  <si>
    <t>D';D´</t>
  </si>
  <si>
    <t>CLR';CLR´</t>
  </si>
  <si>
    <t>INV';INV´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</si>
</sst>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theme="1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quotePrefix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0" borderId="0" xfId="0" quotePrefix="1" applyAlignment="1">
      <alignment horizontal="left"/>
    </xf>
    <xf numFmtId="0" fontId="1" fillId="0" borderId="0" xfId="0" applyFont="1"/>
    <xf numFmtId="0" fontId="1" fillId="0" borderId="0" xfId="0" quotePrefix="1" applyFont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ierre Violent" refreshedDate="45978.004198379633" createdVersion="8" refreshedVersion="8" minRefreshableVersion="3" recordCount="100" xr:uid="{0794FDC5-4580-47ED-9F6D-D18C510D8A1C}">
  <cacheSource type="worksheet">
    <worksheetSource ref="A1:E101" sheet="Instructions table"/>
  </cacheSource>
  <cacheFields count="6">
    <cacheField name="OpCode" numFmtId="0">
      <sharedItems containsSemiMixedTypes="0" containsString="0" containsNumber="1" containsInteger="1" minValue="0" maxValue="99"/>
    </cacheField>
    <cacheField name="Lexer" numFmtId="0">
      <sharedItems containsBlank="1"/>
    </cacheField>
    <cacheField name="Mnemonics" numFmtId="0">
      <sharedItems count="100">
        <s v="0"/>
        <s v="1"/>
        <s v="2"/>
        <s v="3"/>
        <s v="4"/>
        <s v="5"/>
        <s v="6"/>
        <s v="7"/>
        <s v="8"/>
        <s v="9"/>
        <s v="E'"/>
        <s v="A"/>
        <s v="B"/>
        <s v="C"/>
        <s v="D"/>
        <s v="E"/>
        <s v="A'"/>
        <s v="B'"/>
        <s v="C'"/>
        <s v="D'"/>
        <s v="CLR'"/>
        <s v="2nd"/>
        <s v="INV"/>
        <s v="lnx"/>
        <s v="CE"/>
        <s v="CLR"/>
        <s v="2nd'"/>
        <s v="INV'"/>
        <s v="log"/>
        <s v="CP"/>
        <s v="tan"/>
        <s v="LRN"/>
        <s v="x&lt;&gt;t|x/t"/>
        <s v="x²|x^2|X2"/>
        <s v="√|√x|SQR|SQRT"/>
        <s v="1/x"/>
        <s v="Pgm"/>
        <s v="P-&gt;R|P/R"/>
        <s v="sin"/>
        <s v="cos"/>
        <s v="Ind"/>
        <s v="SST"/>
        <s v="STO"/>
        <s v="RCL"/>
        <s v="SUM"/>
        <s v="^|y^x|YX|**"/>
        <s v="Ins"/>
        <s v="CMs"/>
        <s v="Exc"/>
        <s v="Prd"/>
        <s v="|x||ABS|IXI"/>
        <s v="BST"/>
        <s v="EE"/>
        <s v="("/>
        <s v=")"/>
        <s v="/|÷"/>
        <s v="Del"/>
        <s v="Eng"/>
        <s v="Fix"/>
        <s v="Int"/>
        <s v="Deg"/>
        <s v="GTO"/>
        <s v="PG*"/>
        <s v="EX*"/>
        <s v="PD*"/>
        <s v="*|×"/>
        <s v="Pause|PAU"/>
        <s v="x=t|EQ"/>
        <s v="Nop"/>
        <s v="Op"/>
        <s v="Rad"/>
        <s v="SBR"/>
        <s v="ST*"/>
        <s v="RC*"/>
        <s v="SM*"/>
        <s v="-"/>
        <s v="Lbl"/>
        <s v="x≥t|x&gt;=t|GE"/>
        <s v="Σ+|SIG+|STA"/>
        <s v="x̄|AVG|AVR"/>
        <s v="Grad|GRD"/>
        <s v="RST"/>
        <s v="HIR"/>
        <s v="GO*"/>
        <s v="Op*"/>
        <s v="+"/>
        <s v="STF"/>
        <s v="IFF"/>
        <s v="DMS|D.MS"/>
        <s v="π|PI"/>
        <s v="List|LST"/>
        <s v="R/S"/>
        <s v="RTN"/>
        <s v="."/>
        <s v="+/-"/>
        <s v="="/>
        <s v="Write|Wrt"/>
        <s v="Dsz"/>
        <s v="Adv"/>
        <s v="Prt"/>
      </sharedItems>
    </cacheField>
    <cacheField name="Syntax" numFmtId="0">
      <sharedItems count="10">
        <s v="Atomic"/>
        <s v="Only label tag"/>
        <s v="Invert prefix or combined"/>
        <s v="Register or indirect"/>
        <s v="Indirect prefix or combined"/>
        <s v="Label or address or indirect"/>
        <s v="Indirect"/>
        <s v="Label prefix"/>
        <s v="Register"/>
        <s v="Reg/Ind, Label/Address/Inc"/>
      </sharedItems>
    </cacheField>
    <cacheField name="Invertible" numFmtId="0">
      <sharedItems containsBlank="1"/>
    </cacheField>
    <cacheField name="Indirectibl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0"/>
    <m/>
    <x v="0"/>
    <x v="0"/>
    <m/>
    <m/>
  </r>
  <r>
    <n v="1"/>
    <m/>
    <x v="1"/>
    <x v="0"/>
    <m/>
    <m/>
  </r>
  <r>
    <n v="2"/>
    <m/>
    <x v="2"/>
    <x v="0"/>
    <m/>
    <m/>
  </r>
  <r>
    <n v="3"/>
    <m/>
    <x v="3"/>
    <x v="0"/>
    <m/>
    <m/>
  </r>
  <r>
    <n v="4"/>
    <m/>
    <x v="4"/>
    <x v="0"/>
    <m/>
    <m/>
  </r>
  <r>
    <n v="5"/>
    <m/>
    <x v="5"/>
    <x v="0"/>
    <m/>
    <m/>
  </r>
  <r>
    <n v="6"/>
    <m/>
    <x v="6"/>
    <x v="0"/>
    <m/>
    <m/>
  </r>
  <r>
    <n v="7"/>
    <m/>
    <x v="7"/>
    <x v="0"/>
    <m/>
    <m/>
  </r>
  <r>
    <n v="8"/>
    <m/>
    <x v="8"/>
    <x v="0"/>
    <m/>
    <m/>
  </r>
  <r>
    <n v="9"/>
    <m/>
    <x v="9"/>
    <x v="0"/>
    <m/>
    <m/>
  </r>
  <r>
    <n v="10"/>
    <s v="I10_e_prime"/>
    <x v="10"/>
    <x v="0"/>
    <m/>
    <m/>
  </r>
  <r>
    <n v="11"/>
    <s v="I11_a"/>
    <x v="11"/>
    <x v="0"/>
    <m/>
    <m/>
  </r>
  <r>
    <n v="12"/>
    <s v="I12_b"/>
    <x v="12"/>
    <x v="0"/>
    <m/>
    <m/>
  </r>
  <r>
    <n v="13"/>
    <s v="I13_c"/>
    <x v="13"/>
    <x v="0"/>
    <m/>
    <m/>
  </r>
  <r>
    <n v="14"/>
    <s v="I14_d"/>
    <x v="14"/>
    <x v="0"/>
    <m/>
    <m/>
  </r>
  <r>
    <n v="15"/>
    <s v="I15_e"/>
    <x v="15"/>
    <x v="0"/>
    <m/>
    <m/>
  </r>
  <r>
    <n v="16"/>
    <s v="I16_a_prime"/>
    <x v="16"/>
    <x v="0"/>
    <m/>
    <m/>
  </r>
  <r>
    <n v="17"/>
    <s v="I17_b_prime"/>
    <x v="17"/>
    <x v="0"/>
    <m/>
    <m/>
  </r>
  <r>
    <n v="18"/>
    <s v="I18_c_prime"/>
    <x v="18"/>
    <x v="0"/>
    <m/>
    <m/>
  </r>
  <r>
    <n v="19"/>
    <s v="I19_d_prime"/>
    <x v="19"/>
    <x v="0"/>
    <m/>
    <m/>
  </r>
  <r>
    <n v="20"/>
    <s v="I20_2nd_clear"/>
    <x v="20"/>
    <x v="0"/>
    <m/>
    <m/>
  </r>
  <r>
    <n v="21"/>
    <s v="I21_2nd"/>
    <x v="21"/>
    <x v="1"/>
    <m/>
    <m/>
  </r>
  <r>
    <n v="22"/>
    <s v="I22_invert"/>
    <x v="22"/>
    <x v="2"/>
    <m/>
    <m/>
  </r>
  <r>
    <n v="23"/>
    <s v="I23_ln"/>
    <x v="23"/>
    <x v="0"/>
    <m/>
    <m/>
  </r>
  <r>
    <n v="24"/>
    <s v="I24_correct_entry"/>
    <x v="24"/>
    <x v="0"/>
    <m/>
    <m/>
  </r>
  <r>
    <n v="25"/>
    <s v="I25_clear"/>
    <x v="25"/>
    <x v="0"/>
    <m/>
    <m/>
  </r>
  <r>
    <n v="26"/>
    <s v="I26_2nd_2nd"/>
    <x v="26"/>
    <x v="1"/>
    <m/>
    <m/>
  </r>
  <r>
    <n v="27"/>
    <s v="I27_2nd_invert"/>
    <x v="27"/>
    <x v="0"/>
    <m/>
    <m/>
  </r>
  <r>
    <n v="28"/>
    <s v="I28_log"/>
    <x v="28"/>
    <x v="0"/>
    <s v="X"/>
    <m/>
  </r>
  <r>
    <n v="29"/>
    <s v="I29_clear_program"/>
    <x v="29"/>
    <x v="0"/>
    <m/>
    <m/>
  </r>
  <r>
    <n v="30"/>
    <s v="I30_tan"/>
    <x v="30"/>
    <x v="0"/>
    <s v="X"/>
    <m/>
  </r>
  <r>
    <n v="31"/>
    <s v="I31_learn"/>
    <x v="31"/>
    <x v="1"/>
    <m/>
    <m/>
  </r>
  <r>
    <n v="32"/>
    <s v="I32_exchange_x_and_t"/>
    <x v="32"/>
    <x v="0"/>
    <m/>
    <m/>
  </r>
  <r>
    <n v="33"/>
    <s v="I33_square"/>
    <x v="33"/>
    <x v="0"/>
    <m/>
    <m/>
  </r>
  <r>
    <n v="34"/>
    <s v="I34_square_root"/>
    <x v="34"/>
    <x v="0"/>
    <m/>
    <m/>
  </r>
  <r>
    <n v="35"/>
    <s v="I35_reciprocal"/>
    <x v="35"/>
    <x v="0"/>
    <m/>
    <m/>
  </r>
  <r>
    <n v="36"/>
    <s v="I36_program"/>
    <x v="36"/>
    <x v="3"/>
    <m/>
    <s v="X (Mergeable)"/>
  </r>
  <r>
    <n v="37"/>
    <s v="I37_polar_to_rectangular"/>
    <x v="37"/>
    <x v="0"/>
    <s v="X"/>
    <m/>
  </r>
  <r>
    <n v="38"/>
    <s v="I38_sin"/>
    <x v="38"/>
    <x v="0"/>
    <s v="X"/>
    <m/>
  </r>
  <r>
    <n v="39"/>
    <s v="I39_cos"/>
    <x v="39"/>
    <x v="0"/>
    <s v="X"/>
    <m/>
  </r>
  <r>
    <n v="40"/>
    <s v="I40_indirect"/>
    <x v="40"/>
    <x v="4"/>
    <m/>
    <m/>
  </r>
  <r>
    <n v="41"/>
    <s v="I41_single_step"/>
    <x v="41"/>
    <x v="1"/>
    <m/>
    <m/>
  </r>
  <r>
    <n v="42"/>
    <s v="I42_store"/>
    <x v="42"/>
    <x v="3"/>
    <m/>
    <s v="X (Mergeable)"/>
  </r>
  <r>
    <n v="43"/>
    <s v="I43_recall"/>
    <x v="43"/>
    <x v="3"/>
    <m/>
    <s v="X (Mergeable)"/>
  </r>
  <r>
    <n v="44"/>
    <s v="I44_sum"/>
    <x v="44"/>
    <x v="3"/>
    <s v="X"/>
    <s v="X (Mergeable)"/>
  </r>
  <r>
    <n v="45"/>
    <s v="I45_power"/>
    <x v="45"/>
    <x v="0"/>
    <m/>
    <m/>
  </r>
  <r>
    <n v="46"/>
    <s v="I46_insert"/>
    <x v="46"/>
    <x v="1"/>
    <m/>
    <m/>
  </r>
  <r>
    <n v="47"/>
    <s v="I47_clear_memory"/>
    <x v="47"/>
    <x v="0"/>
    <m/>
    <m/>
  </r>
  <r>
    <n v="48"/>
    <s v="I48_exchange"/>
    <x v="48"/>
    <x v="3"/>
    <m/>
    <s v="X (Mergeable)"/>
  </r>
  <r>
    <n v="49"/>
    <s v="I49_product"/>
    <x v="49"/>
    <x v="3"/>
    <s v="X"/>
    <s v="X (Mergeable)"/>
  </r>
  <r>
    <n v="50"/>
    <s v="I50_absolute"/>
    <x v="50"/>
    <x v="0"/>
    <m/>
    <m/>
  </r>
  <r>
    <n v="51"/>
    <s v="I51_backstep"/>
    <x v="51"/>
    <x v="1"/>
    <m/>
    <m/>
  </r>
  <r>
    <n v="52"/>
    <s v="I52_exponent"/>
    <x v="52"/>
    <x v="0"/>
    <s v="X"/>
    <m/>
  </r>
  <r>
    <n v="53"/>
    <s v="I53_left_parenthesis"/>
    <x v="53"/>
    <x v="0"/>
    <m/>
    <m/>
  </r>
  <r>
    <n v="54"/>
    <s v="I54_right_parenthesis"/>
    <x v="54"/>
    <x v="0"/>
    <m/>
    <m/>
  </r>
  <r>
    <n v="55"/>
    <s v="I55_divide"/>
    <x v="55"/>
    <x v="0"/>
    <m/>
    <m/>
  </r>
  <r>
    <n v="56"/>
    <s v="I56_delete"/>
    <x v="56"/>
    <x v="1"/>
    <m/>
    <m/>
  </r>
  <r>
    <n v="57"/>
    <s v="I57_engineering"/>
    <x v="57"/>
    <x v="0"/>
    <s v="X"/>
    <m/>
  </r>
  <r>
    <n v="58"/>
    <s v="I58_fix"/>
    <x v="58"/>
    <x v="0"/>
    <s v="X (Atomic inverse)"/>
    <s v="X"/>
  </r>
  <r>
    <n v="59"/>
    <s v="I59_integer"/>
    <x v="59"/>
    <x v="0"/>
    <s v="X"/>
    <m/>
  </r>
  <r>
    <n v="60"/>
    <s v="I60_degrees"/>
    <x v="60"/>
    <x v="0"/>
    <m/>
    <m/>
  </r>
  <r>
    <n v="61"/>
    <s v="I61_goto"/>
    <x v="61"/>
    <x v="5"/>
    <m/>
    <s v="X (Mergeable)"/>
  </r>
  <r>
    <n v="62"/>
    <s v="I62_program_indirect"/>
    <x v="62"/>
    <x v="6"/>
    <m/>
    <s v="Merged"/>
  </r>
  <r>
    <n v="63"/>
    <s v="I63_exchange_indirect"/>
    <x v="63"/>
    <x v="6"/>
    <m/>
    <s v="Merged"/>
  </r>
  <r>
    <n v="64"/>
    <s v="I64_product_indirect"/>
    <x v="64"/>
    <x v="6"/>
    <s v="X"/>
    <s v="Merged"/>
  </r>
  <r>
    <n v="65"/>
    <s v="I65_multiply"/>
    <x v="65"/>
    <x v="0"/>
    <m/>
    <m/>
  </r>
  <r>
    <n v="66"/>
    <s v="I66_pause"/>
    <x v="66"/>
    <x v="0"/>
    <m/>
    <m/>
  </r>
  <r>
    <n v="67"/>
    <s v="I67_x_equals_t"/>
    <x v="67"/>
    <x v="5"/>
    <s v="X"/>
    <s v="X"/>
  </r>
  <r>
    <n v="68"/>
    <s v="I68_nop"/>
    <x v="68"/>
    <x v="0"/>
    <m/>
    <m/>
  </r>
  <r>
    <n v="69"/>
    <s v="I69_operation"/>
    <x v="69"/>
    <x v="3"/>
    <m/>
    <s v="X (Mergeable)"/>
  </r>
  <r>
    <n v="70"/>
    <s v="I70_radians"/>
    <x v="70"/>
    <x v="0"/>
    <m/>
    <m/>
  </r>
  <r>
    <n v="71"/>
    <s v="I71_subroutine"/>
    <x v="71"/>
    <x v="5"/>
    <s v="X (Atomic inverse)"/>
    <s v="X"/>
  </r>
  <r>
    <n v="72"/>
    <s v="I72_store_indirect"/>
    <x v="72"/>
    <x v="6"/>
    <m/>
    <s v="Merged"/>
  </r>
  <r>
    <n v="73"/>
    <s v="I73_recall_indirect"/>
    <x v="73"/>
    <x v="6"/>
    <m/>
    <s v="Merged"/>
  </r>
  <r>
    <n v="74"/>
    <s v="I74_sum_indirect"/>
    <x v="74"/>
    <x v="6"/>
    <s v="X"/>
    <s v="Merged"/>
  </r>
  <r>
    <n v="75"/>
    <s v="I75_subtract"/>
    <x v="75"/>
    <x v="0"/>
    <m/>
    <m/>
  </r>
  <r>
    <n v="76"/>
    <s v="I76_label"/>
    <x v="76"/>
    <x v="7"/>
    <m/>
    <m/>
  </r>
  <r>
    <n v="77"/>
    <s v="I77_x_greater_or_equal_than_t"/>
    <x v="77"/>
    <x v="5"/>
    <m/>
    <s v="X"/>
  </r>
  <r>
    <n v="78"/>
    <s v="I78_sigma_plus"/>
    <x v="78"/>
    <x v="0"/>
    <s v="X"/>
    <m/>
  </r>
  <r>
    <n v="79"/>
    <s v="I79_average"/>
    <x v="79"/>
    <x v="0"/>
    <s v="X"/>
    <m/>
  </r>
  <r>
    <n v="80"/>
    <s v="I80_grades"/>
    <x v="80"/>
    <x v="0"/>
    <m/>
    <m/>
  </r>
  <r>
    <n v="81"/>
    <s v="I81_reset"/>
    <x v="81"/>
    <x v="0"/>
    <m/>
    <m/>
  </r>
  <r>
    <n v="82"/>
    <s v="I82_hir"/>
    <x v="82"/>
    <x v="8"/>
    <m/>
    <m/>
  </r>
  <r>
    <n v="83"/>
    <s v="I83_goto_indirect"/>
    <x v="83"/>
    <x v="6"/>
    <m/>
    <s v="Merged"/>
  </r>
  <r>
    <n v="84"/>
    <s v="I84_operation_indirect"/>
    <x v="84"/>
    <x v="6"/>
    <m/>
    <s v="Merged"/>
  </r>
  <r>
    <n v="85"/>
    <s v="I85_add"/>
    <x v="85"/>
    <x v="0"/>
    <m/>
    <m/>
  </r>
  <r>
    <n v="86"/>
    <s v="I86_set_flag"/>
    <x v="86"/>
    <x v="3"/>
    <s v="X"/>
    <s v="X"/>
  </r>
  <r>
    <n v="87"/>
    <s v="I87_if_flag"/>
    <x v="87"/>
    <x v="9"/>
    <s v="X"/>
    <s v="X double"/>
  </r>
  <r>
    <n v="88"/>
    <s v="I88_dms"/>
    <x v="88"/>
    <x v="0"/>
    <s v="X"/>
    <m/>
  </r>
  <r>
    <n v="89"/>
    <s v="I89_pi"/>
    <x v="89"/>
    <x v="0"/>
    <m/>
    <m/>
  </r>
  <r>
    <n v="90"/>
    <s v="I90_list"/>
    <x v="90"/>
    <x v="0"/>
    <s v="X"/>
    <m/>
  </r>
  <r>
    <n v="91"/>
    <s v="I91_run_stop"/>
    <x v="91"/>
    <x v="0"/>
    <m/>
    <m/>
  </r>
  <r>
    <n v="92"/>
    <s v="I92_return"/>
    <x v="92"/>
    <x v="0"/>
    <m/>
    <m/>
  </r>
  <r>
    <n v="93"/>
    <s v="I93_dot"/>
    <x v="93"/>
    <x v="0"/>
    <m/>
    <m/>
  </r>
  <r>
    <n v="94"/>
    <s v="I94_change_sign"/>
    <x v="94"/>
    <x v="0"/>
    <m/>
    <m/>
  </r>
  <r>
    <n v="95"/>
    <s v="I95_equals"/>
    <x v="95"/>
    <x v="0"/>
    <m/>
    <m/>
  </r>
  <r>
    <n v="96"/>
    <s v="I96_write"/>
    <x v="96"/>
    <x v="0"/>
    <s v="X"/>
    <m/>
  </r>
  <r>
    <n v="97"/>
    <s v="I97_dsz"/>
    <x v="97"/>
    <x v="9"/>
    <s v="X"/>
    <s v="X double"/>
  </r>
  <r>
    <n v="98"/>
    <s v="I98_advance"/>
    <x v="98"/>
    <x v="0"/>
    <s v="?"/>
    <m/>
  </r>
  <r>
    <n v="99"/>
    <s v="I99_print"/>
    <x v="99"/>
    <x v="0"/>
    <s v="?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93B594-CD2F-489C-A9EA-F016C26CC5A7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4" firstHeaderRow="1" firstDataRow="1" firstDataCol="1"/>
  <pivotFields count="6">
    <pivotField showAll="0"/>
    <pivotField showAll="0"/>
    <pivotField dataField="1" showAll="0">
      <items count="101">
        <item x="75"/>
        <item x="53"/>
        <item x="54"/>
        <item x="65"/>
        <item x="93"/>
        <item x="55"/>
        <item x="45"/>
        <item x="50"/>
        <item x="85"/>
        <item x="94"/>
        <item x="95"/>
        <item x="34"/>
        <item x="0"/>
        <item x="1"/>
        <item x="35"/>
        <item x="2"/>
        <item x="21"/>
        <item x="26"/>
        <item x="3"/>
        <item x="4"/>
        <item x="5"/>
        <item x="6"/>
        <item x="7"/>
        <item x="8"/>
        <item x="9"/>
        <item x="11"/>
        <item x="16"/>
        <item x="98"/>
        <item x="12"/>
        <item x="17"/>
        <item x="51"/>
        <item x="13"/>
        <item x="18"/>
        <item x="24"/>
        <item x="25"/>
        <item x="20"/>
        <item x="47"/>
        <item x="39"/>
        <item x="29"/>
        <item x="14"/>
        <item x="19"/>
        <item x="60"/>
        <item x="56"/>
        <item x="88"/>
        <item x="97"/>
        <item x="15"/>
        <item x="10"/>
        <item x="52"/>
        <item x="57"/>
        <item x="63"/>
        <item x="48"/>
        <item x="58"/>
        <item x="83"/>
        <item x="80"/>
        <item x="61"/>
        <item x="82"/>
        <item x="87"/>
        <item x="40"/>
        <item x="46"/>
        <item x="59"/>
        <item x="22"/>
        <item x="27"/>
        <item x="76"/>
        <item x="90"/>
        <item x="23"/>
        <item x="28"/>
        <item x="31"/>
        <item x="68"/>
        <item x="69"/>
        <item x="84"/>
        <item x="37"/>
        <item x="66"/>
        <item x="64"/>
        <item x="62"/>
        <item x="36"/>
        <item x="49"/>
        <item x="99"/>
        <item x="91"/>
        <item x="70"/>
        <item x="73"/>
        <item x="43"/>
        <item x="81"/>
        <item x="92"/>
        <item x="71"/>
        <item x="38"/>
        <item x="74"/>
        <item x="41"/>
        <item x="72"/>
        <item x="86"/>
        <item x="42"/>
        <item x="44"/>
        <item x="30"/>
        <item x="96"/>
        <item x="79"/>
        <item x="32"/>
        <item x="67"/>
        <item x="77"/>
        <item x="33"/>
        <item x="89"/>
        <item x="78"/>
        <item t="default"/>
      </items>
    </pivotField>
    <pivotField axis="axisRow" showAll="0">
      <items count="11">
        <item x="0"/>
        <item x="6"/>
        <item x="4"/>
        <item x="2"/>
        <item x="5"/>
        <item x="7"/>
        <item x="1"/>
        <item x="9"/>
        <item x="8"/>
        <item x="3"/>
        <item t="default"/>
      </items>
    </pivotField>
    <pivotField showAll="0"/>
    <pivotField showAll="0"/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Count of Mnemonic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F8AED-F224-4E04-9363-190526C87892}">
  <sheetPr codeName="Sheet1"/>
  <dimension ref="A1:H106"/>
  <sheetViews>
    <sheetView tabSelected="1" workbookViewId="0">
      <pane ySplit="1" topLeftCell="A28" activePane="bottomLeft" state="frozen"/>
      <selection pane="bottomLeft" activeCell="G12" sqref="G12:G106"/>
    </sheetView>
  </sheetViews>
  <sheetFormatPr defaultRowHeight="15" x14ac:dyDescent="0.25"/>
  <cols>
    <col min="1" max="1" width="27.7109375" bestFit="1" customWidth="1"/>
    <col min="2" max="2" width="45.140625" style="7" bestFit="1" customWidth="1"/>
    <col min="3" max="3" width="25.5703125" bestFit="1" customWidth="1"/>
    <col min="4" max="4" width="11.42578125" style="3" bestFit="1" customWidth="1"/>
    <col min="5" max="5" width="19.85546875" bestFit="1" customWidth="1"/>
    <col min="6" max="6" width="14.7109375" bestFit="1" customWidth="1"/>
    <col min="7" max="7" width="57.28515625" bestFit="1" customWidth="1"/>
    <col min="8" max="8" width="110.5703125" bestFit="1" customWidth="1"/>
  </cols>
  <sheetData>
    <row r="1" spans="1:8" x14ac:dyDescent="0.25">
      <c r="A1" t="s">
        <v>185</v>
      </c>
      <c r="B1" s="7" t="s">
        <v>90</v>
      </c>
      <c r="C1" t="s">
        <v>147</v>
      </c>
      <c r="D1" s="3" t="s">
        <v>164</v>
      </c>
      <c r="E1" t="s">
        <v>182</v>
      </c>
      <c r="F1" t="s">
        <v>178</v>
      </c>
      <c r="G1" t="s">
        <v>185</v>
      </c>
      <c r="H1" t="s">
        <v>192</v>
      </c>
    </row>
    <row r="2" spans="1:8" x14ac:dyDescent="0.25">
      <c r="B2" s="8" t="s">
        <v>154</v>
      </c>
      <c r="C2" t="s">
        <v>172</v>
      </c>
    </row>
    <row r="3" spans="1:8" x14ac:dyDescent="0.25">
      <c r="B3" s="8" t="s">
        <v>163</v>
      </c>
      <c r="C3" t="s">
        <v>172</v>
      </c>
    </row>
    <row r="4" spans="1:8" x14ac:dyDescent="0.25">
      <c r="B4" s="8" t="s">
        <v>155</v>
      </c>
      <c r="C4" t="s">
        <v>172</v>
      </c>
    </row>
    <row r="5" spans="1:8" x14ac:dyDescent="0.25">
      <c r="B5" s="8" t="s">
        <v>156</v>
      </c>
      <c r="C5" t="s">
        <v>172</v>
      </c>
    </row>
    <row r="6" spans="1:8" x14ac:dyDescent="0.25">
      <c r="B6" s="8" t="s">
        <v>157</v>
      </c>
      <c r="C6" t="s">
        <v>172</v>
      </c>
    </row>
    <row r="7" spans="1:8" x14ac:dyDescent="0.25">
      <c r="B7" s="8" t="s">
        <v>158</v>
      </c>
      <c r="C7" t="s">
        <v>172</v>
      </c>
    </row>
    <row r="8" spans="1:8" x14ac:dyDescent="0.25">
      <c r="B8" s="8" t="s">
        <v>159</v>
      </c>
      <c r="C8" t="s">
        <v>172</v>
      </c>
    </row>
    <row r="9" spans="1:8" x14ac:dyDescent="0.25">
      <c r="B9" s="8" t="s">
        <v>160</v>
      </c>
      <c r="C9" t="s">
        <v>172</v>
      </c>
    </row>
    <row r="10" spans="1:8" x14ac:dyDescent="0.25">
      <c r="B10" s="8" t="s">
        <v>161</v>
      </c>
      <c r="C10" t="s">
        <v>172</v>
      </c>
    </row>
    <row r="11" spans="1:8" x14ac:dyDescent="0.25">
      <c r="B11" s="8" t="s">
        <v>162</v>
      </c>
      <c r="C11" t="s">
        <v>172</v>
      </c>
    </row>
    <row r="12" spans="1:8" x14ac:dyDescent="0.25">
      <c r="A12" t="s">
        <v>9</v>
      </c>
      <c r="B12" s="7" t="s">
        <v>216</v>
      </c>
      <c r="C12" t="s">
        <v>172</v>
      </c>
      <c r="G12" t="str" cm="1">
        <f t="array" ref="G12">Vocab(A12,B12)</f>
        <v>I10_e_prime: 'E\'' | 'E´';</v>
      </c>
      <c r="H12" t="str" cm="1">
        <f t="array" ref="H12">TIKeys(A12:E12)</f>
        <v>TIKeys.Add(Vocab.I10_e_prime, new TIKey{Op=[10], M="E'", S=StatementSyntax.a});</v>
      </c>
    </row>
    <row r="13" spans="1:8" x14ac:dyDescent="0.25">
      <c r="A13" t="s">
        <v>0</v>
      </c>
      <c r="B13" s="7" t="s">
        <v>91</v>
      </c>
      <c r="C13" t="s">
        <v>172</v>
      </c>
      <c r="G13" t="str" cm="1">
        <f t="array" ref="G13">Vocab(A13,B13)</f>
        <v>I11_a: 'A';</v>
      </c>
      <c r="H13" t="str" cm="1">
        <f t="array" ref="H13">TIKeys(A13:E13)</f>
        <v>TIKeys.Add(Vocab.I11_a, new TIKey{Op=[11], M="A", S=StatementSyntax.a});</v>
      </c>
    </row>
    <row r="14" spans="1:8" x14ac:dyDescent="0.25">
      <c r="A14" t="s">
        <v>1</v>
      </c>
      <c r="B14" s="7" t="s">
        <v>92</v>
      </c>
      <c r="C14" t="s">
        <v>172</v>
      </c>
      <c r="G14" t="str" cm="1">
        <f t="array" ref="G14">Vocab(A14,B14)</f>
        <v>I12_b: 'B';</v>
      </c>
      <c r="H14" t="str" cm="1">
        <f t="array" ref="H14">TIKeys(A14:E14)</f>
        <v>TIKeys.Add(Vocab.I12_b, new TIKey{Op=[12], M="B", S=StatementSyntax.a});</v>
      </c>
    </row>
    <row r="15" spans="1:8" x14ac:dyDescent="0.25">
      <c r="A15" t="s">
        <v>2</v>
      </c>
      <c r="B15" s="7" t="s">
        <v>93</v>
      </c>
      <c r="C15" t="s">
        <v>172</v>
      </c>
      <c r="G15" t="str" cm="1">
        <f t="array" ref="G15">Vocab(A15,B15)</f>
        <v>I13_c: 'C';</v>
      </c>
      <c r="H15" t="str" cm="1">
        <f t="array" ref="H15">TIKeys(A15:E15)</f>
        <v>TIKeys.Add(Vocab.I13_c, new TIKey{Op=[13], M="C", S=StatementSyntax.a});</v>
      </c>
    </row>
    <row r="16" spans="1:8" x14ac:dyDescent="0.25">
      <c r="A16" t="s">
        <v>3</v>
      </c>
      <c r="B16" s="7" t="s">
        <v>94</v>
      </c>
      <c r="C16" t="s">
        <v>172</v>
      </c>
      <c r="G16" t="str" cm="1">
        <f t="array" ref="G16">Vocab(A16,B16)</f>
        <v>I14_d: 'D';</v>
      </c>
      <c r="H16" t="str" cm="1">
        <f t="array" ref="H16">TIKeys(A16:E16)</f>
        <v>TIKeys.Add(Vocab.I14_d, new TIKey{Op=[14], M="D", S=StatementSyntax.a});</v>
      </c>
    </row>
    <row r="17" spans="1:8" x14ac:dyDescent="0.25">
      <c r="A17" t="s">
        <v>4</v>
      </c>
      <c r="B17" s="7" t="s">
        <v>95</v>
      </c>
      <c r="C17" t="s">
        <v>172</v>
      </c>
      <c r="G17" t="str" cm="1">
        <f t="array" ref="G17">Vocab(A17,B17)</f>
        <v>I15_e: 'E';</v>
      </c>
      <c r="H17" t="str" cm="1">
        <f t="array" ref="H17">TIKeys(A17:E17)</f>
        <v>TIKeys.Add(Vocab.I15_e, new TIKey{Op=[15], M="E", S=StatementSyntax.a});</v>
      </c>
    </row>
    <row r="18" spans="1:8" x14ac:dyDescent="0.25">
      <c r="A18" t="s">
        <v>5</v>
      </c>
      <c r="B18" s="7" t="s">
        <v>217</v>
      </c>
      <c r="C18" t="s">
        <v>172</v>
      </c>
      <c r="G18" t="str" cm="1">
        <f t="array" ref="G18">Vocab(A18,B18)</f>
        <v>I16_a_prime: 'A\'' | 'A´';</v>
      </c>
      <c r="H18" t="str" cm="1">
        <f t="array" ref="H18">TIKeys(A18:E18)</f>
        <v>TIKeys.Add(Vocab.I16_a_prime, new TIKey{Op=[16], M="A'", S=StatementSyntax.a});</v>
      </c>
    </row>
    <row r="19" spans="1:8" x14ac:dyDescent="0.25">
      <c r="A19" t="s">
        <v>6</v>
      </c>
      <c r="B19" s="7" t="s">
        <v>218</v>
      </c>
      <c r="C19" t="s">
        <v>172</v>
      </c>
      <c r="G19" t="str" cm="1">
        <f t="array" ref="G19">Vocab(A19,B19)</f>
        <v>I17_b_prime: 'B\'' | 'B´';</v>
      </c>
      <c r="H19" t="str" cm="1">
        <f t="array" ref="H19">TIKeys(A19:E19)</f>
        <v>TIKeys.Add(Vocab.I17_b_prime, new TIKey{Op=[17], M="B'", S=StatementSyntax.a});</v>
      </c>
    </row>
    <row r="20" spans="1:8" x14ac:dyDescent="0.25">
      <c r="A20" t="s">
        <v>7</v>
      </c>
      <c r="B20" s="7" t="s">
        <v>219</v>
      </c>
      <c r="C20" t="s">
        <v>172</v>
      </c>
      <c r="G20" t="str" cm="1">
        <f t="array" ref="G20">Vocab(A20,B20)</f>
        <v>I18_c_prime: 'C\'' | 'C´';</v>
      </c>
      <c r="H20" t="str" cm="1">
        <f t="array" ref="H20">TIKeys(A20:E20)</f>
        <v>TIKeys.Add(Vocab.I18_c_prime, new TIKey{Op=[18], M="C'", S=StatementSyntax.a});</v>
      </c>
    </row>
    <row r="21" spans="1:8" x14ac:dyDescent="0.25">
      <c r="A21" t="s">
        <v>8</v>
      </c>
      <c r="B21" s="7" t="s">
        <v>220</v>
      </c>
      <c r="C21" t="s">
        <v>172</v>
      </c>
      <c r="G21" t="str" cm="1">
        <f t="array" ref="G21">Vocab(A21,B21)</f>
        <v>I19_d_prime: 'D\'' | 'D´';</v>
      </c>
      <c r="H21" t="str" cm="1">
        <f t="array" ref="H21">TIKeys(A21:E21)</f>
        <v>TIKeys.Add(Vocab.I19_d_prime, new TIKey{Op=[19], M="D'", S=StatementSyntax.a});</v>
      </c>
    </row>
    <row r="22" spans="1:8" x14ac:dyDescent="0.25">
      <c r="A22" t="s">
        <v>19</v>
      </c>
      <c r="B22" s="7" t="s">
        <v>221</v>
      </c>
      <c r="C22" t="s">
        <v>172</v>
      </c>
      <c r="G22" t="str" cm="1">
        <f t="array" ref="G22">Vocab(A22,B22)</f>
        <v>I20_2nd_clear: 'CLR\'' | 'CLR´';</v>
      </c>
      <c r="H22" t="str" cm="1">
        <f t="array" ref="H22">TIKeys(A22:E22)</f>
        <v>TIKeys.Add(Vocab.I20_2nd_clear, new TIKey{Op=[20], M="CLR'", S=StatementSyntax.a});</v>
      </c>
    </row>
    <row r="23" spans="1:8" s="4" customFormat="1" x14ac:dyDescent="0.25">
      <c r="A23" s="4" t="s">
        <v>10</v>
      </c>
      <c r="B23" s="9"/>
      <c r="D23" s="5"/>
      <c r="G23" t="str" cm="1">
        <f t="array" ref="G23">Vocab(A23,B23)</f>
        <v/>
      </c>
      <c r="H23" t="str" cm="1">
        <f t="array" ref="H23">TIKeys(A23:E23)</f>
        <v/>
      </c>
    </row>
    <row r="24" spans="1:8" x14ac:dyDescent="0.25">
      <c r="A24" t="s">
        <v>11</v>
      </c>
      <c r="B24" s="7" t="s">
        <v>96</v>
      </c>
      <c r="C24" t="s">
        <v>172</v>
      </c>
      <c r="F24" t="s">
        <v>179</v>
      </c>
      <c r="G24" t="str" cm="1">
        <f t="array" ref="G24">Vocab(A24,B24)</f>
        <v>I22_invert: 'INV';</v>
      </c>
      <c r="H24" t="str" cm="1">
        <f t="array" ref="H24">TIKeys(A24:E24)</f>
        <v>TIKeys.Add(Vocab.I22_invert, new TIKey{Op=[22], M="INV", S=StatementSyntax.a});</v>
      </c>
    </row>
    <row r="25" spans="1:8" x14ac:dyDescent="0.25">
      <c r="A25" t="s">
        <v>12</v>
      </c>
      <c r="B25" s="7" t="s">
        <v>97</v>
      </c>
      <c r="C25" t="s">
        <v>172</v>
      </c>
      <c r="D25" s="3" t="b">
        <v>1</v>
      </c>
      <c r="G25" t="str" cm="1">
        <f t="array" ref="G25">Vocab(A25,B25)</f>
        <v>I23_ln: 'lnx';</v>
      </c>
      <c r="H25" t="str" cm="1">
        <f t="array" ref="H25">TIKeys(A25:E25)</f>
        <v>TIKeys.Add(Vocab.I23_ln, new TIKey{Op=[23], M="lnx", S=StatementSyntax.a, I=true});</v>
      </c>
    </row>
    <row r="26" spans="1:8" x14ac:dyDescent="0.25">
      <c r="A26" t="s">
        <v>13</v>
      </c>
      <c r="B26" s="7" t="s">
        <v>98</v>
      </c>
      <c r="C26" t="s">
        <v>172</v>
      </c>
      <c r="G26" t="str" cm="1">
        <f t="array" ref="G26">Vocab(A26,B26)</f>
        <v>I24_correct_entry: 'CE';</v>
      </c>
      <c r="H26" t="str" cm="1">
        <f t="array" ref="H26">TIKeys(A26:E26)</f>
        <v>TIKeys.Add(Vocab.I24_correct_entry, new TIKey{Op=[24], M="CE", S=StatementSyntax.a});</v>
      </c>
    </row>
    <row r="27" spans="1:8" x14ac:dyDescent="0.25">
      <c r="A27" t="s">
        <v>14</v>
      </c>
      <c r="B27" s="7" t="s">
        <v>99</v>
      </c>
      <c r="C27" t="s">
        <v>172</v>
      </c>
      <c r="G27" t="str" cm="1">
        <f t="array" ref="G27">Vocab(A27,B27)</f>
        <v>I25_clear: 'CLR';</v>
      </c>
      <c r="H27" t="str" cm="1">
        <f t="array" ref="H27">TIKeys(A27:E27)</f>
        <v>TIKeys.Add(Vocab.I25_clear, new TIKey{Op=[25], M="CLR", S=StatementSyntax.a});</v>
      </c>
    </row>
    <row r="28" spans="1:8" s="4" customFormat="1" x14ac:dyDescent="0.25">
      <c r="A28" s="4" t="s">
        <v>15</v>
      </c>
      <c r="B28" s="9"/>
      <c r="D28" s="5"/>
      <c r="G28" t="str" cm="1">
        <f t="array" ref="G28">Vocab(A28,B28)</f>
        <v/>
      </c>
      <c r="H28" t="str" cm="1">
        <f t="array" ref="H28">TIKeys(A28:E28)</f>
        <v/>
      </c>
    </row>
    <row r="29" spans="1:8" x14ac:dyDescent="0.25">
      <c r="A29" t="s">
        <v>16</v>
      </c>
      <c r="B29" s="7" t="s">
        <v>222</v>
      </c>
      <c r="C29" t="s">
        <v>172</v>
      </c>
      <c r="G29" t="str" cm="1">
        <f t="array" ref="G29">Vocab(A29,B29)</f>
        <v>I27_2nd_invert: 'INV\'' | 'INV´';</v>
      </c>
      <c r="H29" t="str" cm="1">
        <f t="array" ref="H29">TIKeys(A29:E29)</f>
        <v>TIKeys.Add(Vocab.I27_2nd_invert, new TIKey{Op=[27], M="INV'", S=StatementSyntax.a});</v>
      </c>
    </row>
    <row r="30" spans="1:8" x14ac:dyDescent="0.25">
      <c r="A30" t="s">
        <v>17</v>
      </c>
      <c r="B30" s="7" t="s">
        <v>100</v>
      </c>
      <c r="C30" t="s">
        <v>172</v>
      </c>
      <c r="D30" s="3" t="b">
        <v>1</v>
      </c>
      <c r="G30" t="str" cm="1">
        <f t="array" ref="G30">Vocab(A30,B30)</f>
        <v>I28_log: 'log';</v>
      </c>
      <c r="H30" t="str" cm="1">
        <f t="array" ref="H30">TIKeys(A30:E30)</f>
        <v>TIKeys.Add(Vocab.I28_log, new TIKey{Op=[28], M="log", S=StatementSyntax.a, I=true});</v>
      </c>
    </row>
    <row r="31" spans="1:8" x14ac:dyDescent="0.25">
      <c r="A31" t="s">
        <v>18</v>
      </c>
      <c r="B31" s="7" t="s">
        <v>101</v>
      </c>
      <c r="C31" t="s">
        <v>172</v>
      </c>
      <c r="G31" t="str" cm="1">
        <f t="array" ref="G31">Vocab(A31,B31)</f>
        <v>I29_clear_program: 'CP';</v>
      </c>
      <c r="H31" t="str" cm="1">
        <f t="array" ref="H31">TIKeys(A31:E31)</f>
        <v>TIKeys.Add(Vocab.I29_clear_program, new TIKey{Op=[29], M="CP", S=StatementSyntax.a});</v>
      </c>
    </row>
    <row r="32" spans="1:8" x14ac:dyDescent="0.25">
      <c r="A32" t="s">
        <v>29</v>
      </c>
      <c r="B32" s="7" t="s">
        <v>102</v>
      </c>
      <c r="C32" t="s">
        <v>172</v>
      </c>
      <c r="D32" s="3" t="b">
        <v>1</v>
      </c>
      <c r="G32" t="str" cm="1">
        <f t="array" ref="G32">Vocab(A32,B32)</f>
        <v>I30_tan: 'tan';</v>
      </c>
      <c r="H32" t="str" cm="1">
        <f t="array" ref="H32">TIKeys(A32:E32)</f>
        <v>TIKeys.Add(Vocab.I30_tan, new TIKey{Op=[30], M="tan", S=StatementSyntax.a, I=true});</v>
      </c>
    </row>
    <row r="33" spans="1:8" s="4" customFormat="1" x14ac:dyDescent="0.25">
      <c r="A33" s="4" t="s">
        <v>20</v>
      </c>
      <c r="B33" s="9"/>
      <c r="D33" s="5"/>
      <c r="G33" t="str" cm="1">
        <f t="array" ref="G33">Vocab(A33,B33)</f>
        <v/>
      </c>
      <c r="H33" t="str" cm="1">
        <f t="array" ref="H33">TIKeys(A33:E33)</f>
        <v/>
      </c>
    </row>
    <row r="34" spans="1:8" x14ac:dyDescent="0.25">
      <c r="A34" t="s">
        <v>21</v>
      </c>
      <c r="B34" s="7" t="s">
        <v>211</v>
      </c>
      <c r="C34" t="s">
        <v>172</v>
      </c>
      <c r="G34" t="str" cm="1">
        <f t="array" ref="G34">Vocab(A34,B34)</f>
        <v>I32_exchange_x_and_t: 'x↔t' | 'x⇄t' | 'x≷t' | 'x&lt;&gt;t' | 'x/t' | 'x-t' | 'x~t' | 'x⇌t' | 'x%t';</v>
      </c>
      <c r="H34" t="str" cm="1">
        <f t="array" ref="H34">TIKeys(A34:E34)</f>
        <v>TIKeys.Add(Vocab.I32_exchange_x_and_t, new TIKey{Op=[32], M="x↔t", S=StatementSyntax.a});</v>
      </c>
    </row>
    <row r="35" spans="1:8" x14ac:dyDescent="0.25">
      <c r="A35" t="s">
        <v>22</v>
      </c>
      <c r="B35" s="7" t="s">
        <v>193</v>
      </c>
      <c r="C35" t="s">
        <v>172</v>
      </c>
      <c r="G35" t="str" cm="1">
        <f t="array" ref="G35">Vocab(A35,B35)</f>
        <v>I33_square: 'x²' | 'x^2' | 'X2';</v>
      </c>
      <c r="H35" t="str" cm="1">
        <f t="array" ref="H35">TIKeys(A35:E35)</f>
        <v>TIKeys.Add(Vocab.I33_square, new TIKey{Op=[33], M="x²", S=StatementSyntax.a});</v>
      </c>
    </row>
    <row r="36" spans="1:8" x14ac:dyDescent="0.25">
      <c r="A36" t="s">
        <v>23</v>
      </c>
      <c r="B36" s="7" t="s">
        <v>205</v>
      </c>
      <c r="C36" t="s">
        <v>172</v>
      </c>
      <c r="F36" t="s">
        <v>206</v>
      </c>
      <c r="G36" t="str" cm="1">
        <f t="array" ref="G36">Vocab(A36,B36)</f>
        <v>I34_square_root: '√' | '√x' | 'SQRT' | 'SQR';</v>
      </c>
      <c r="H36" t="str" cm="1">
        <f t="array" ref="H36">TIKeys(A36:E36)</f>
        <v>TIKeys.Add(Vocab.I34_square_root, new TIKey{Op=[34], M="√", S=StatementSyntax.a});</v>
      </c>
    </row>
    <row r="37" spans="1:8" x14ac:dyDescent="0.25">
      <c r="A37" t="s">
        <v>24</v>
      </c>
      <c r="B37" s="7" t="s">
        <v>103</v>
      </c>
      <c r="C37" t="s">
        <v>172</v>
      </c>
      <c r="G37" t="str" cm="1">
        <f t="array" ref="G37">Vocab(A37,B37)</f>
        <v>I35_reciprocal: '1/x';</v>
      </c>
      <c r="H37" t="str" cm="1">
        <f t="array" ref="H37">TIKeys(A37:E37)</f>
        <v>TIKeys.Add(Vocab.I35_reciprocal, new TIKey{Op=[35], M="1/x", S=StatementSyntax.a});</v>
      </c>
    </row>
    <row r="38" spans="1:8" x14ac:dyDescent="0.25">
      <c r="A38" t="s">
        <v>25</v>
      </c>
      <c r="B38" s="7" t="s">
        <v>104</v>
      </c>
      <c r="C38" t="s">
        <v>177</v>
      </c>
      <c r="E38" s="3" t="s">
        <v>51</v>
      </c>
      <c r="G38" t="str" cm="1">
        <f t="array" ref="G38">Vocab(A38,B38)</f>
        <v>I36_program: 'Pgm';</v>
      </c>
      <c r="H38" t="str" cm="1">
        <f t="array" ref="H38">TIKeys(A38:E38)</f>
        <v>TIKeys.Add(Vocab.I36_program, new TIKey{Op=[36], M="Pgm", S=StatementSyntax.di, MOp=Vocab.I62_program_indirect});</v>
      </c>
    </row>
    <row r="39" spans="1:8" x14ac:dyDescent="0.25">
      <c r="A39" t="s">
        <v>26</v>
      </c>
      <c r="B39" s="7" t="s">
        <v>212</v>
      </c>
      <c r="C39" t="s">
        <v>172</v>
      </c>
      <c r="D39" s="3" t="b">
        <v>1</v>
      </c>
      <c r="G39" t="str" cm="1">
        <f t="array" ref="G39">Vocab(A39,B39)</f>
        <v>I37_polar_to_rectangular: 'P→R' | 'P-&gt;R' | 'P/R' | 'P-R';</v>
      </c>
      <c r="H39" t="str" cm="1">
        <f t="array" ref="H39">TIKeys(A39:E39)</f>
        <v>TIKeys.Add(Vocab.I37_polar_to_rectangular, new TIKey{Op=[37], M="P→R", S=StatementSyntax.a, I=true});</v>
      </c>
    </row>
    <row r="40" spans="1:8" x14ac:dyDescent="0.25">
      <c r="A40" t="s">
        <v>27</v>
      </c>
      <c r="B40" s="7" t="s">
        <v>105</v>
      </c>
      <c r="C40" t="s">
        <v>172</v>
      </c>
      <c r="D40" s="3" t="b">
        <v>1</v>
      </c>
      <c r="G40" t="str" cm="1">
        <f t="array" ref="G40">Vocab(A40,B40)</f>
        <v>I38_sin: 'sin';</v>
      </c>
      <c r="H40" t="str" cm="1">
        <f t="array" ref="H40">TIKeys(A40:E40)</f>
        <v>TIKeys.Add(Vocab.I38_sin, new TIKey{Op=[38], M="sin", S=StatementSyntax.a, I=true});</v>
      </c>
    </row>
    <row r="41" spans="1:8" x14ac:dyDescent="0.25">
      <c r="A41" t="s">
        <v>28</v>
      </c>
      <c r="B41" s="7" t="s">
        <v>106</v>
      </c>
      <c r="C41" t="s">
        <v>172</v>
      </c>
      <c r="D41" s="3" t="b">
        <v>1</v>
      </c>
      <c r="G41" t="str" cm="1">
        <f t="array" ref="G41">Vocab(A41,B41)</f>
        <v>I39_cos: 'cos';</v>
      </c>
      <c r="H41" t="str" cm="1">
        <f t="array" ref="H41">TIKeys(A41:E41)</f>
        <v>TIKeys.Add(Vocab.I39_cos, new TIKey{Op=[39], M="cos", S=StatementSyntax.a, I=true});</v>
      </c>
    </row>
    <row r="42" spans="1:8" x14ac:dyDescent="0.25">
      <c r="A42" t="s">
        <v>39</v>
      </c>
      <c r="B42" s="7" t="s">
        <v>107</v>
      </c>
      <c r="C42" t="s">
        <v>183</v>
      </c>
      <c r="F42" t="s">
        <v>180</v>
      </c>
      <c r="G42" t="str" cm="1">
        <f t="array" ref="G42">Vocab(A42,B42)</f>
        <v>I40_indirect: 'Ind';</v>
      </c>
      <c r="H42" t="str" cm="1">
        <f t="array" ref="H42">TIKeys(A42:E42)</f>
        <v>TIKeys.Add(Vocab.I40_indirect, new TIKey{Op=[40], M="Ind", S=StatementSyntax.p});</v>
      </c>
    </row>
    <row r="43" spans="1:8" s="4" customFormat="1" x14ac:dyDescent="0.25">
      <c r="A43" s="4" t="s">
        <v>30</v>
      </c>
      <c r="B43" s="9"/>
      <c r="D43" s="5"/>
      <c r="G43" t="str" cm="1">
        <f t="array" ref="G43">Vocab(A43,B43)</f>
        <v/>
      </c>
      <c r="H43" t="str" cm="1">
        <f t="array" ref="H43">TIKeys(A43:E43)</f>
        <v/>
      </c>
    </row>
    <row r="44" spans="1:8" x14ac:dyDescent="0.25">
      <c r="A44" t="s">
        <v>31</v>
      </c>
      <c r="B44" s="7" t="s">
        <v>108</v>
      </c>
      <c r="C44" t="s">
        <v>177</v>
      </c>
      <c r="E44" t="s">
        <v>61</v>
      </c>
      <c r="G44" t="str" cm="1">
        <f t="array" ref="G44">Vocab(A44,B44)</f>
        <v>I42_store: 'STO';</v>
      </c>
      <c r="H44" t="str" cm="1">
        <f t="array" ref="H44">TIKeys(A44:E44)</f>
        <v>TIKeys.Add(Vocab.I42_store, new TIKey{Op=[42], M="STO", S=StatementSyntax.di, MOp=Vocab.I72_store_indirect});</v>
      </c>
    </row>
    <row r="45" spans="1:8" x14ac:dyDescent="0.25">
      <c r="A45" t="s">
        <v>32</v>
      </c>
      <c r="B45" s="7" t="s">
        <v>109</v>
      </c>
      <c r="C45" t="s">
        <v>177</v>
      </c>
      <c r="E45" t="s">
        <v>62</v>
      </c>
      <c r="G45" t="str" cm="1">
        <f t="array" ref="G45">Vocab(A45,B45)</f>
        <v>I43_recall: 'RCL';</v>
      </c>
      <c r="H45" t="str" cm="1">
        <f t="array" ref="H45">TIKeys(A45:E45)</f>
        <v>TIKeys.Add(Vocab.I43_recall, new TIKey{Op=[43], M="RCL", S=StatementSyntax.di, MOp=Vocab.I73_recall_indirect});</v>
      </c>
    </row>
    <row r="46" spans="1:8" x14ac:dyDescent="0.25">
      <c r="A46" t="s">
        <v>33</v>
      </c>
      <c r="B46" s="7" t="s">
        <v>110</v>
      </c>
      <c r="C46" t="s">
        <v>177</v>
      </c>
      <c r="D46" s="3" t="b">
        <v>1</v>
      </c>
      <c r="E46" t="s">
        <v>63</v>
      </c>
      <c r="G46" t="str" cm="1">
        <f t="array" ref="G46">Vocab(A46,B46)</f>
        <v>I44_sum: 'SUM';</v>
      </c>
      <c r="H46" t="str" cm="1">
        <f t="array" ref="H46">TIKeys(A46:E46)</f>
        <v>TIKeys.Add(Vocab.I44_sum, new TIKey{Op=[44], M="SUM", S=StatementSyntax.di, I=true, MOp=Vocab.I74_sum_indirect});</v>
      </c>
    </row>
    <row r="47" spans="1:8" x14ac:dyDescent="0.25">
      <c r="A47" t="s">
        <v>34</v>
      </c>
      <c r="B47" s="7" t="s">
        <v>213</v>
      </c>
      <c r="C47" t="s">
        <v>172</v>
      </c>
      <c r="D47" s="3" t="b">
        <v>1</v>
      </c>
      <c r="G47" t="str" cm="1">
        <f t="array" ref="G47">Vocab(A47,B47)</f>
        <v>I45_power: 'yˣ' | '^' | 'y^x' | 'YX' | '**' | 'y**x' | 'pow';</v>
      </c>
      <c r="H47" t="str" cm="1">
        <f t="array" ref="H47">TIKeys(A47:E47)</f>
        <v>TIKeys.Add(Vocab.I45_power, new TIKey{Op=[45], M="yˣ", S=StatementSyntax.a, I=true});</v>
      </c>
    </row>
    <row r="48" spans="1:8" s="4" customFormat="1" x14ac:dyDescent="0.25">
      <c r="A48" s="4" t="s">
        <v>35</v>
      </c>
      <c r="B48" s="9"/>
      <c r="D48" s="5"/>
      <c r="G48" t="str" cm="1">
        <f t="array" ref="G48">Vocab(A48,B48)</f>
        <v/>
      </c>
      <c r="H48" t="str" cm="1">
        <f t="array" ref="H48">TIKeys(A48:E48)</f>
        <v/>
      </c>
    </row>
    <row r="49" spans="1:8" x14ac:dyDescent="0.25">
      <c r="A49" t="s">
        <v>36</v>
      </c>
      <c r="B49" s="7" t="s">
        <v>111</v>
      </c>
      <c r="C49" t="s">
        <v>172</v>
      </c>
      <c r="G49" t="str" cm="1">
        <f t="array" ref="G49">Vocab(A49,B49)</f>
        <v>I47_clear_memory: 'CMs';</v>
      </c>
      <c r="H49" t="str" cm="1">
        <f t="array" ref="H49">TIKeys(A49:E49)</f>
        <v>TIKeys.Add(Vocab.I47_clear_memory, new TIKey{Op=[47], M="CMs", S=StatementSyntax.a});</v>
      </c>
    </row>
    <row r="50" spans="1:8" x14ac:dyDescent="0.25">
      <c r="A50" t="s">
        <v>37</v>
      </c>
      <c r="B50" s="7" t="s">
        <v>112</v>
      </c>
      <c r="C50" t="s">
        <v>177</v>
      </c>
      <c r="E50" t="s">
        <v>52</v>
      </c>
      <c r="G50" t="str" cm="1">
        <f t="array" ref="G50">Vocab(A50,B50)</f>
        <v>I48_exchange: 'Exc';</v>
      </c>
      <c r="H50" t="str" cm="1">
        <f t="array" ref="H50">TIKeys(A50:E50)</f>
        <v>TIKeys.Add(Vocab.I48_exchange, new TIKey{Op=[48], M="Exc", S=StatementSyntax.di, MOp=Vocab.I63_exchange_indirect});</v>
      </c>
    </row>
    <row r="51" spans="1:8" x14ac:dyDescent="0.25">
      <c r="A51" t="s">
        <v>38</v>
      </c>
      <c r="B51" s="7" t="s">
        <v>113</v>
      </c>
      <c r="C51" t="s">
        <v>177</v>
      </c>
      <c r="D51" s="3" t="b">
        <v>1</v>
      </c>
      <c r="E51" t="s">
        <v>53</v>
      </c>
      <c r="G51" t="str" cm="1">
        <f t="array" ref="G51">Vocab(A51,B51)</f>
        <v>I49_product: 'Prd';</v>
      </c>
      <c r="H51" t="str" cm="1">
        <f t="array" ref="H51">TIKeys(A51:E51)</f>
        <v>TIKeys.Add(Vocab.I49_product, new TIKey{Op=[49], M="Prd", S=StatementSyntax.di, I=true, MOp=Vocab.I64_product_indirect});</v>
      </c>
    </row>
    <row r="52" spans="1:8" x14ac:dyDescent="0.25">
      <c r="A52" t="s">
        <v>49</v>
      </c>
      <c r="B52" s="7" t="s">
        <v>204</v>
      </c>
      <c r="C52" t="s">
        <v>172</v>
      </c>
      <c r="G52" t="str" cm="1">
        <f t="array" ref="G52">Vocab(A52,B52)</f>
        <v>I50_absolute: '|x|' | 'ABS' | 'IXI';</v>
      </c>
      <c r="H52" t="str" cm="1">
        <f t="array" ref="H52">TIKeys(A52:E52)</f>
        <v>TIKeys.Add(Vocab.I50_absolute, new TIKey{Op=[50], M="|x|", S=StatementSyntax.a});</v>
      </c>
    </row>
    <row r="53" spans="1:8" s="4" customFormat="1" x14ac:dyDescent="0.25">
      <c r="A53" s="4" t="s">
        <v>40</v>
      </c>
      <c r="B53" s="9"/>
      <c r="D53" s="5"/>
      <c r="G53" t="str" cm="1">
        <f t="array" ref="G53">Vocab(A53,B53)</f>
        <v/>
      </c>
      <c r="H53" t="str" cm="1">
        <f t="array" ref="H53">TIKeys(A53:E53)</f>
        <v/>
      </c>
    </row>
    <row r="54" spans="1:8" x14ac:dyDescent="0.25">
      <c r="A54" t="s">
        <v>41</v>
      </c>
      <c r="B54" s="7" t="s">
        <v>114</v>
      </c>
      <c r="C54" t="s">
        <v>172</v>
      </c>
      <c r="D54" s="3" t="b">
        <v>1</v>
      </c>
      <c r="G54" t="str" cm="1">
        <f t="array" ref="G54">Vocab(A54,B54)</f>
        <v>I52_exponent: 'EE';</v>
      </c>
      <c r="H54" t="str" cm="1">
        <f t="array" ref="H54">TIKeys(A54:E54)</f>
        <v>TIKeys.Add(Vocab.I52_exponent, new TIKey{Op=[52], M="EE", S=StatementSyntax.a, I=true});</v>
      </c>
    </row>
    <row r="55" spans="1:8" x14ac:dyDescent="0.25">
      <c r="A55" t="s">
        <v>42</v>
      </c>
      <c r="B55" s="7" t="s">
        <v>115</v>
      </c>
      <c r="C55" t="s">
        <v>172</v>
      </c>
      <c r="G55" t="str" cm="1">
        <f t="array" ref="G55">Vocab(A55,B55)</f>
        <v>I53_left_parenthesis: '(';</v>
      </c>
      <c r="H55" t="str" cm="1">
        <f t="array" ref="H55">TIKeys(A55:E55)</f>
        <v>TIKeys.Add(Vocab.I53_left_parenthesis, new TIKey{Op=[53], M="(", S=StatementSyntax.a});</v>
      </c>
    </row>
    <row r="56" spans="1:8" x14ac:dyDescent="0.25">
      <c r="A56" t="s">
        <v>43</v>
      </c>
      <c r="B56" s="7" t="s">
        <v>116</v>
      </c>
      <c r="C56" t="s">
        <v>172</v>
      </c>
      <c r="G56" t="str" cm="1">
        <f t="array" ref="G56">Vocab(A56,B56)</f>
        <v>I54_right_parenthesis: ')';</v>
      </c>
      <c r="H56" t="str" cm="1">
        <f t="array" ref="H56">TIKeys(A56:E56)</f>
        <v>TIKeys.Add(Vocab.I54_right_parenthesis, new TIKey{Op=[54], M=")", S=StatementSyntax.a});</v>
      </c>
    </row>
    <row r="57" spans="1:8" x14ac:dyDescent="0.25">
      <c r="A57" t="s">
        <v>44</v>
      </c>
      <c r="B57" s="7" t="s">
        <v>207</v>
      </c>
      <c r="C57" t="s">
        <v>172</v>
      </c>
      <c r="G57" t="str" cm="1">
        <f t="array" ref="G57">Vocab(A57,B57)</f>
        <v>I55_divide: '÷' | '/';</v>
      </c>
      <c r="H57" t="str" cm="1">
        <f t="array" ref="H57">TIKeys(A57:E57)</f>
        <v>TIKeys.Add(Vocab.I55_divide, new TIKey{Op=[55], M="÷", S=StatementSyntax.a});</v>
      </c>
    </row>
    <row r="58" spans="1:8" s="4" customFormat="1" x14ac:dyDescent="0.25">
      <c r="A58" s="4" t="s">
        <v>45</v>
      </c>
      <c r="B58" s="9"/>
      <c r="D58" s="5"/>
      <c r="G58" t="str" cm="1">
        <f t="array" ref="G58">Vocab(A58,B58)</f>
        <v/>
      </c>
      <c r="H58" t="str" cm="1">
        <f t="array" ref="H58">TIKeys(A58:E58)</f>
        <v/>
      </c>
    </row>
    <row r="59" spans="1:8" x14ac:dyDescent="0.25">
      <c r="A59" t="s">
        <v>46</v>
      </c>
      <c r="B59" s="7" t="s">
        <v>117</v>
      </c>
      <c r="C59" t="s">
        <v>172</v>
      </c>
      <c r="D59" s="3" t="b">
        <v>1</v>
      </c>
      <c r="G59" t="str" cm="1">
        <f t="array" ref="G59">Vocab(A59,B59)</f>
        <v>I57_engineering: 'Eng';</v>
      </c>
      <c r="H59" t="str" cm="1">
        <f t="array" ref="H59">TIKeys(A59:E59)</f>
        <v>TIKeys.Add(Vocab.I57_engineering, new TIKey{Op=[57], M="Eng", S=StatementSyntax.a, I=true});</v>
      </c>
    </row>
    <row r="60" spans="1:8" x14ac:dyDescent="0.25">
      <c r="A60" t="s">
        <v>47</v>
      </c>
      <c r="B60" s="7" t="s">
        <v>118</v>
      </c>
      <c r="C60" t="s">
        <v>177</v>
      </c>
      <c r="D60" s="3" t="b">
        <v>1</v>
      </c>
      <c r="F60" t="s">
        <v>181</v>
      </c>
      <c r="G60" t="str" cm="1">
        <f t="array" ref="G60">Vocab(A60,B60)</f>
        <v>I58_fix: 'Fix';</v>
      </c>
      <c r="H60" t="str" cm="1">
        <f t="array" ref="H60">TIKeys(A60:E60)</f>
        <v>TIKeys.Add(Vocab.I58_fix, new TIKey{Op=[58], M="Fix", S=StatementSyntax.di, I=true});</v>
      </c>
    </row>
    <row r="61" spans="1:8" x14ac:dyDescent="0.25">
      <c r="A61" t="s">
        <v>48</v>
      </c>
      <c r="B61" s="7" t="s">
        <v>119</v>
      </c>
      <c r="C61" t="s">
        <v>172</v>
      </c>
      <c r="D61" s="3" t="b">
        <v>1</v>
      </c>
      <c r="G61" t="str" cm="1">
        <f t="array" ref="G61">Vocab(A61,B61)</f>
        <v>I59_integer: 'Int';</v>
      </c>
      <c r="H61" t="str" cm="1">
        <f t="array" ref="H61">TIKeys(A61:E61)</f>
        <v>TIKeys.Add(Vocab.I59_integer, new TIKey{Op=[59], M="Int", S=StatementSyntax.a, I=true});</v>
      </c>
    </row>
    <row r="62" spans="1:8" x14ac:dyDescent="0.25">
      <c r="A62" t="s">
        <v>59</v>
      </c>
      <c r="B62" s="7" t="s">
        <v>120</v>
      </c>
      <c r="C62" t="s">
        <v>172</v>
      </c>
      <c r="G62" t="str" cm="1">
        <f t="array" ref="G62">Vocab(A62,B62)</f>
        <v>I60_degrees: 'Deg';</v>
      </c>
      <c r="H62" t="str" cm="1">
        <f t="array" ref="H62">TIKeys(A62:E62)</f>
        <v>TIKeys.Add(Vocab.I60_degrees, new TIKey{Op=[60], M="Deg", S=StatementSyntax.a});</v>
      </c>
    </row>
    <row r="63" spans="1:8" x14ac:dyDescent="0.25">
      <c r="A63" t="s">
        <v>50</v>
      </c>
      <c r="B63" s="7" t="s">
        <v>121</v>
      </c>
      <c r="C63" t="s">
        <v>173</v>
      </c>
      <c r="E63" t="s">
        <v>72</v>
      </c>
      <c r="G63" t="str" cm="1">
        <f t="array" ref="G63">Vocab(A63,B63)</f>
        <v>I61_goto: 'GTO';</v>
      </c>
      <c r="H63" t="str" cm="1">
        <f t="array" ref="H63">TIKeys(A63:E63)</f>
        <v>TIKeys.Add(Vocab.I61_goto, new TIKey{Op=[61], M="GTO", S=StatementSyntax.b, MOp=Vocab.I83_goto_indirect});</v>
      </c>
    </row>
    <row r="64" spans="1:8" x14ac:dyDescent="0.25">
      <c r="A64" t="s">
        <v>51</v>
      </c>
      <c r="B64" s="7" t="s">
        <v>122</v>
      </c>
      <c r="C64" t="s">
        <v>174</v>
      </c>
      <c r="G64" t="str" cm="1">
        <f t="array" ref="G64">Vocab(A64,B64)</f>
        <v>I62_program_indirect: 'PG*';</v>
      </c>
      <c r="H64" t="str" cm="1">
        <f t="array" ref="H64">TIKeys(A64:E64)</f>
        <v>TIKeys.Add(Vocab.I62_program_indirect, new TIKey{Op=[62], M="PG*", S=StatementSyntax.i});</v>
      </c>
    </row>
    <row r="65" spans="1:8" x14ac:dyDescent="0.25">
      <c r="A65" t="s">
        <v>52</v>
      </c>
      <c r="B65" s="7" t="s">
        <v>123</v>
      </c>
      <c r="C65" t="s">
        <v>174</v>
      </c>
      <c r="G65" t="str" cm="1">
        <f t="array" ref="G65">Vocab(A65,B65)</f>
        <v>I63_exchange_indirect: 'EX*';</v>
      </c>
      <c r="H65" t="str" cm="1">
        <f t="array" ref="H65">TIKeys(A65:E65)</f>
        <v>TIKeys.Add(Vocab.I63_exchange_indirect, new TIKey{Op=[63], M="EX*", S=StatementSyntax.i});</v>
      </c>
    </row>
    <row r="66" spans="1:8" x14ac:dyDescent="0.25">
      <c r="A66" t="s">
        <v>53</v>
      </c>
      <c r="B66" s="7" t="s">
        <v>124</v>
      </c>
      <c r="C66" t="s">
        <v>174</v>
      </c>
      <c r="D66" s="3" t="b">
        <v>1</v>
      </c>
      <c r="G66" t="str" cm="1">
        <f t="array" ref="G66">Vocab(A66,B66)</f>
        <v>I64_product_indirect: 'PD*';</v>
      </c>
      <c r="H66" t="str" cm="1">
        <f t="array" ref="H66">TIKeys(A66:E66)</f>
        <v>TIKeys.Add(Vocab.I64_product_indirect, new TIKey{Op=[64], M="PD*", S=StatementSyntax.i, I=true});</v>
      </c>
    </row>
    <row r="67" spans="1:8" x14ac:dyDescent="0.25">
      <c r="A67" t="s">
        <v>54</v>
      </c>
      <c r="B67" s="7" t="s">
        <v>208</v>
      </c>
      <c r="C67" t="s">
        <v>172</v>
      </c>
      <c r="G67" t="str" cm="1">
        <f t="array" ref="G67">Vocab(A67,B67)</f>
        <v>I65_multiply: '×' | '*';</v>
      </c>
      <c r="H67" t="str" cm="1">
        <f t="array" ref="H67">TIKeys(A67:E67)</f>
        <v>TIKeys.Add(Vocab.I65_multiply, new TIKey{Op=[65], M="×", S=StatementSyntax.a});</v>
      </c>
    </row>
    <row r="68" spans="1:8" x14ac:dyDescent="0.25">
      <c r="A68" t="s">
        <v>55</v>
      </c>
      <c r="B68" s="7" t="s">
        <v>194</v>
      </c>
      <c r="C68" t="s">
        <v>172</v>
      </c>
      <c r="G68" t="str" cm="1">
        <f t="array" ref="G68">Vocab(A68,B68)</f>
        <v>I66_pause: 'Pause' | 'PAU';</v>
      </c>
      <c r="H68" t="str" cm="1">
        <f t="array" ref="H68">TIKeys(A68:E68)</f>
        <v>TIKeys.Add(Vocab.I66_pause, new TIKey{Op=[66], M="Pause", S=StatementSyntax.a});</v>
      </c>
    </row>
    <row r="69" spans="1:8" x14ac:dyDescent="0.25">
      <c r="A69" t="s">
        <v>56</v>
      </c>
      <c r="B69" s="7" t="s">
        <v>195</v>
      </c>
      <c r="C69" t="s">
        <v>173</v>
      </c>
      <c r="D69" s="3" t="b">
        <v>1</v>
      </c>
      <c r="G69" t="str" cm="1">
        <f t="array" ref="G69">Vocab(A69,B69)</f>
        <v>I67_x_equals_t: 'x=t' | 'EQ';</v>
      </c>
      <c r="H69" t="str" cm="1">
        <f t="array" ref="H69">TIKeys(A69:E69)</f>
        <v>TIKeys.Add(Vocab.I67_x_equals_t, new TIKey{Op=[67], M="x=t", S=StatementSyntax.b, I=true});</v>
      </c>
    </row>
    <row r="70" spans="1:8" x14ac:dyDescent="0.25">
      <c r="A70" t="s">
        <v>57</v>
      </c>
      <c r="B70" s="7" t="s">
        <v>125</v>
      </c>
      <c r="C70" t="s">
        <v>172</v>
      </c>
      <c r="G70" t="str" cm="1">
        <f t="array" ref="G70">Vocab(A70,B70)</f>
        <v>I68_nop: 'Nop';</v>
      </c>
      <c r="H70" t="str" cm="1">
        <f t="array" ref="H70">TIKeys(A70:E70)</f>
        <v>TIKeys.Add(Vocab.I68_nop, new TIKey{Op=[68], M="Nop", S=StatementSyntax.a});</v>
      </c>
    </row>
    <row r="71" spans="1:8" x14ac:dyDescent="0.25">
      <c r="A71" t="s">
        <v>58</v>
      </c>
      <c r="B71" s="7" t="s">
        <v>126</v>
      </c>
      <c r="C71" t="s">
        <v>177</v>
      </c>
      <c r="E71" t="s">
        <v>73</v>
      </c>
      <c r="G71" t="str" cm="1">
        <f t="array" ref="G71">Vocab(A71,B71)</f>
        <v>I69_operation: 'Op';</v>
      </c>
      <c r="H71" t="str" cm="1">
        <f t="array" ref="H71">TIKeys(A71:E71)</f>
        <v>TIKeys.Add(Vocab.I69_operation, new TIKey{Op=[69], M="Op", S=StatementSyntax.di, MOp=Vocab.I84_operation_indirect});</v>
      </c>
    </row>
    <row r="72" spans="1:8" x14ac:dyDescent="0.25">
      <c r="A72" t="s">
        <v>69</v>
      </c>
      <c r="B72" s="7" t="s">
        <v>127</v>
      </c>
      <c r="C72" t="s">
        <v>172</v>
      </c>
      <c r="G72" t="str" cm="1">
        <f t="array" ref="G72">Vocab(A72,B72)</f>
        <v>I70_radians: 'Rad';</v>
      </c>
      <c r="H72" t="str" cm="1">
        <f t="array" ref="H72">TIKeys(A72:E72)</f>
        <v>TIKeys.Add(Vocab.I70_radians, new TIKey{Op=[70], M="Rad", S=StatementSyntax.a});</v>
      </c>
    </row>
    <row r="73" spans="1:8" x14ac:dyDescent="0.25">
      <c r="A73" t="s">
        <v>60</v>
      </c>
      <c r="B73" s="7" t="s">
        <v>128</v>
      </c>
      <c r="C73" t="s">
        <v>173</v>
      </c>
      <c r="D73" s="3" t="b">
        <v>1</v>
      </c>
      <c r="F73" t="s">
        <v>181</v>
      </c>
      <c r="G73" t="str" cm="1">
        <f t="array" ref="G73">Vocab(A73,B73)</f>
        <v>I71_subroutine: 'SBR';</v>
      </c>
      <c r="H73" t="str" cm="1">
        <f t="array" ref="H73">TIKeys(A73:E73)</f>
        <v>TIKeys.Add(Vocab.I71_subroutine, new TIKey{Op=[71], M="SBR", S=StatementSyntax.b, I=true});</v>
      </c>
    </row>
    <row r="74" spans="1:8" x14ac:dyDescent="0.25">
      <c r="A74" t="s">
        <v>61</v>
      </c>
      <c r="B74" s="7" t="s">
        <v>129</v>
      </c>
      <c r="C74" t="s">
        <v>174</v>
      </c>
      <c r="G74" t="str" cm="1">
        <f t="array" ref="G74">Vocab(A74,B74)</f>
        <v>I72_store_indirect: 'ST*';</v>
      </c>
      <c r="H74" t="str" cm="1">
        <f t="array" ref="H74">TIKeys(A74:E74)</f>
        <v>TIKeys.Add(Vocab.I72_store_indirect, new TIKey{Op=[72], M="ST*", S=StatementSyntax.i});</v>
      </c>
    </row>
    <row r="75" spans="1:8" x14ac:dyDescent="0.25">
      <c r="A75" t="s">
        <v>62</v>
      </c>
      <c r="B75" s="7" t="s">
        <v>130</v>
      </c>
      <c r="C75" t="s">
        <v>174</v>
      </c>
      <c r="G75" t="str" cm="1">
        <f t="array" ref="G75">Vocab(A75,B75)</f>
        <v>I73_recall_indirect: 'RC*';</v>
      </c>
      <c r="H75" t="str" cm="1">
        <f t="array" ref="H75">TIKeys(A75:E75)</f>
        <v>TIKeys.Add(Vocab.I73_recall_indirect, new TIKey{Op=[73], M="RC*", S=StatementSyntax.i});</v>
      </c>
    </row>
    <row r="76" spans="1:8" x14ac:dyDescent="0.25">
      <c r="A76" t="s">
        <v>63</v>
      </c>
      <c r="B76" s="7" t="s">
        <v>131</v>
      </c>
      <c r="C76" t="s">
        <v>174</v>
      </c>
      <c r="D76" s="3" t="b">
        <v>1</v>
      </c>
      <c r="G76" t="str" cm="1">
        <f t="array" ref="G76">Vocab(A76,B76)</f>
        <v>I74_sum_indirect: 'SM*';</v>
      </c>
      <c r="H76" t="str" cm="1">
        <f t="array" ref="H76">TIKeys(A76:E76)</f>
        <v>TIKeys.Add(Vocab.I74_sum_indirect, new TIKey{Op=[74], M="SM*", S=StatementSyntax.i, I=true});</v>
      </c>
    </row>
    <row r="77" spans="1:8" x14ac:dyDescent="0.25">
      <c r="A77" t="s">
        <v>64</v>
      </c>
      <c r="B77" s="7" t="s">
        <v>132</v>
      </c>
      <c r="C77" t="s">
        <v>172</v>
      </c>
      <c r="G77" t="str" cm="1">
        <f t="array" ref="G77">Vocab(A77,B77)</f>
        <v>I75_subtract: '-';</v>
      </c>
      <c r="H77" t="str" cm="1">
        <f t="array" ref="H77">TIKeys(A77:E77)</f>
        <v>TIKeys.Add(Vocab.I75_subtract, new TIKey{Op=[75], M="-", S=StatementSyntax.a});</v>
      </c>
    </row>
    <row r="78" spans="1:8" x14ac:dyDescent="0.25">
      <c r="A78" t="s">
        <v>65</v>
      </c>
      <c r="B78" s="7" t="s">
        <v>133</v>
      </c>
      <c r="C78" t="s">
        <v>175</v>
      </c>
      <c r="G78" t="str" cm="1">
        <f t="array" ref="G78">Vocab(A78,B78)</f>
        <v>I76_label: 'Lbl';</v>
      </c>
      <c r="H78" t="str" cm="1">
        <f t="array" ref="H78">TIKeys(A78:E78)</f>
        <v>TIKeys.Add(Vocab.I76_label, new TIKey{Op=[76], M="Lbl", S=StatementSyntax.m});</v>
      </c>
    </row>
    <row r="79" spans="1:8" x14ac:dyDescent="0.25">
      <c r="A79" t="s">
        <v>66</v>
      </c>
      <c r="B79" s="7" t="s">
        <v>196</v>
      </c>
      <c r="C79" t="s">
        <v>173</v>
      </c>
      <c r="D79" s="3" t="b">
        <v>1</v>
      </c>
      <c r="G79" t="str" cm="1">
        <f t="array" ref="G79">Vocab(A79,B79)</f>
        <v>I77_x_greater_or_equal_than_t: 'x≥t' | 'x&gt;=t' | 'GE';</v>
      </c>
      <c r="H79" t="str" cm="1">
        <f t="array" ref="H79">TIKeys(A79:E79)</f>
        <v>TIKeys.Add(Vocab.I77_x_greater_or_equal_than_t, new TIKey{Op=[77], M="x≥t", S=StatementSyntax.b, I=true});</v>
      </c>
    </row>
    <row r="80" spans="1:8" x14ac:dyDescent="0.25">
      <c r="A80" t="s">
        <v>67</v>
      </c>
      <c r="B80" s="7" t="s">
        <v>215</v>
      </c>
      <c r="C80" t="s">
        <v>172</v>
      </c>
      <c r="D80" s="3" t="b">
        <v>1</v>
      </c>
      <c r="G80" t="str" cm="1">
        <f t="array" ref="G80">Vocab(A80,B80)</f>
        <v>I78_sigma_plus: 'Σ+' | '∑+' | 'SIG+' | 'STA' | 'Sigma' | 'S+';</v>
      </c>
      <c r="H80" t="str" cm="1">
        <f t="array" ref="H80">TIKeys(A80:E80)</f>
        <v>TIKeys.Add(Vocab.I78_sigma_plus, new TIKey{Op=[78], M="Σ+", S=StatementSyntax.a, I=true});</v>
      </c>
    </row>
    <row r="81" spans="1:8" x14ac:dyDescent="0.25">
      <c r="A81" t="s">
        <v>68</v>
      </c>
      <c r="B81" s="7" t="s">
        <v>214</v>
      </c>
      <c r="C81" t="s">
        <v>172</v>
      </c>
      <c r="D81" s="3" t="b">
        <v>1</v>
      </c>
      <c r="G81" t="str" cm="1">
        <f t="array" ref="G81">Vocab(A81,B81)</f>
        <v>I79_average: 'x̄' | 'AVG' | 'AVR' | 'Mean' | 'mean(x)';</v>
      </c>
      <c r="H81" t="str" cm="1">
        <f t="array" ref="H81">TIKeys(A81:E81)</f>
        <v>TIKeys.Add(Vocab.I79_average, new TIKey{Op=[79], M="x̄", S=StatementSyntax.a, I=true});</v>
      </c>
    </row>
    <row r="82" spans="1:8" x14ac:dyDescent="0.25">
      <c r="A82" t="s">
        <v>79</v>
      </c>
      <c r="B82" s="7" t="s">
        <v>197</v>
      </c>
      <c r="C82" t="s">
        <v>172</v>
      </c>
      <c r="G82" t="str" cm="1">
        <f t="array" ref="G82">Vocab(A82,B82)</f>
        <v>I80_grades: 'Grad' | 'GRD';</v>
      </c>
      <c r="H82" t="str" cm="1">
        <f t="array" ref="H82">TIKeys(A82:E82)</f>
        <v>TIKeys.Add(Vocab.I80_grades, new TIKey{Op=[80], M="Grad", S=StatementSyntax.a});</v>
      </c>
    </row>
    <row r="83" spans="1:8" x14ac:dyDescent="0.25">
      <c r="A83" t="s">
        <v>70</v>
      </c>
      <c r="B83" s="7" t="s">
        <v>134</v>
      </c>
      <c r="C83" t="s">
        <v>172</v>
      </c>
      <c r="G83" t="str" cm="1">
        <f t="array" ref="G83">Vocab(A83,B83)</f>
        <v>I81_reset: 'RST';</v>
      </c>
      <c r="H83" t="str" cm="1">
        <f t="array" ref="H83">TIKeys(A83:E83)</f>
        <v>TIKeys.Add(Vocab.I81_reset, new TIKey{Op=[81], M="RST", S=StatementSyntax.a});</v>
      </c>
    </row>
    <row r="84" spans="1:8" x14ac:dyDescent="0.25">
      <c r="A84" t="s">
        <v>71</v>
      </c>
      <c r="B84" s="7" t="s">
        <v>135</v>
      </c>
      <c r="C84" t="s">
        <v>176</v>
      </c>
      <c r="G84" t="str" cm="1">
        <f t="array" ref="G84">Vocab(A84,B84)</f>
        <v>I82_hir: 'HIR';</v>
      </c>
      <c r="H84" t="str" cm="1">
        <f t="array" ref="H84">TIKeys(A84:E84)</f>
        <v>TIKeys.Add(Vocab.I82_hir, new TIKey{Op=[82], M="HIR", S=StatementSyntax.d});</v>
      </c>
    </row>
    <row r="85" spans="1:8" x14ac:dyDescent="0.25">
      <c r="A85" t="s">
        <v>72</v>
      </c>
      <c r="B85" s="7" t="s">
        <v>136</v>
      </c>
      <c r="C85" t="s">
        <v>174</v>
      </c>
      <c r="G85" t="str" cm="1">
        <f t="array" ref="G85">Vocab(A85,B85)</f>
        <v>I83_goto_indirect: 'GO*';</v>
      </c>
      <c r="H85" t="str" cm="1">
        <f t="array" ref="H85">TIKeys(A85:E85)</f>
        <v>TIKeys.Add(Vocab.I83_goto_indirect, new TIKey{Op=[83], M="GO*", S=StatementSyntax.i});</v>
      </c>
    </row>
    <row r="86" spans="1:8" x14ac:dyDescent="0.25">
      <c r="A86" t="s">
        <v>73</v>
      </c>
      <c r="B86" s="7" t="s">
        <v>137</v>
      </c>
      <c r="C86" t="s">
        <v>174</v>
      </c>
      <c r="G86" t="str" cm="1">
        <f t="array" ref="G86">Vocab(A86,B86)</f>
        <v>I84_operation_indirect: 'Op*';</v>
      </c>
      <c r="H86" t="str" cm="1">
        <f t="array" ref="H86">TIKeys(A86:E86)</f>
        <v>TIKeys.Add(Vocab.I84_operation_indirect, new TIKey{Op=[84], M="Op*", S=StatementSyntax.i});</v>
      </c>
    </row>
    <row r="87" spans="1:8" x14ac:dyDescent="0.25">
      <c r="A87" t="s">
        <v>74</v>
      </c>
      <c r="B87" s="7" t="s">
        <v>138</v>
      </c>
      <c r="C87" t="s">
        <v>172</v>
      </c>
      <c r="G87" t="str" cm="1">
        <f t="array" ref="G87">Vocab(A87,B87)</f>
        <v>I85_add: '+';</v>
      </c>
      <c r="H87" t="str" cm="1">
        <f t="array" ref="H87">TIKeys(A87:E87)</f>
        <v>TIKeys.Add(Vocab.I85_add, new TIKey{Op=[85], M="+", S=StatementSyntax.a});</v>
      </c>
    </row>
    <row r="88" spans="1:8" x14ac:dyDescent="0.25">
      <c r="A88" t="s">
        <v>75</v>
      </c>
      <c r="B88" s="7" t="s">
        <v>209</v>
      </c>
      <c r="C88" t="s">
        <v>177</v>
      </c>
      <c r="D88" s="3" t="b">
        <v>1</v>
      </c>
      <c r="G88" t="str" cm="1">
        <f t="array" ref="G88">Vocab(A88,B88)</f>
        <v>I86_set_flag: 'STF' | 'stflg';</v>
      </c>
      <c r="H88" t="str" cm="1">
        <f t="array" ref="H88">TIKeys(A88:E88)</f>
        <v>TIKeys.Add(Vocab.I86_set_flag, new TIKey{Op=[86], M="STF", S=StatementSyntax.di, I=true});</v>
      </c>
    </row>
    <row r="89" spans="1:8" x14ac:dyDescent="0.25">
      <c r="A89" t="s">
        <v>76</v>
      </c>
      <c r="B89" s="7" t="s">
        <v>210</v>
      </c>
      <c r="C89" t="s">
        <v>184</v>
      </c>
      <c r="D89" s="3" t="b">
        <v>1</v>
      </c>
      <c r="G89" t="str" cm="1">
        <f t="array" ref="G89">Vocab(A89,B89)</f>
        <v>I87_if_flag: 'IFF' | 'ifflg';</v>
      </c>
      <c r="H89" t="str" cm="1">
        <f t="array" ref="H89">TIKeys(A89:E89)</f>
        <v>TIKeys.Add(Vocab.I87_if_flag, new TIKey{Op=[87], M="IFF", S=StatementSyntax.dib, I=true});</v>
      </c>
    </row>
    <row r="90" spans="1:8" x14ac:dyDescent="0.25">
      <c r="A90" t="s">
        <v>77</v>
      </c>
      <c r="B90" s="7" t="s">
        <v>198</v>
      </c>
      <c r="C90" t="s">
        <v>172</v>
      </c>
      <c r="D90" s="3" t="b">
        <v>1</v>
      </c>
      <c r="G90" t="str" cm="1">
        <f t="array" ref="G90">Vocab(A90,B90)</f>
        <v>I88_dms: 'D.MS' | 'DMS';</v>
      </c>
      <c r="H90" t="str" cm="1">
        <f t="array" ref="H90">TIKeys(A90:E90)</f>
        <v>TIKeys.Add(Vocab.I88_dms, new TIKey{Op=[88], M="D.MS", S=StatementSyntax.a, I=true});</v>
      </c>
    </row>
    <row r="91" spans="1:8" x14ac:dyDescent="0.25">
      <c r="A91" t="s">
        <v>78</v>
      </c>
      <c r="B91" s="7" t="s">
        <v>199</v>
      </c>
      <c r="C91" t="s">
        <v>172</v>
      </c>
      <c r="G91" t="str" cm="1">
        <f t="array" ref="G91">Vocab(A91,B91)</f>
        <v>I89_pi: 'π' | 'PI';</v>
      </c>
      <c r="H91" t="str" cm="1">
        <f t="array" ref="H91">TIKeys(A91:E91)</f>
        <v>TIKeys.Add(Vocab.I89_pi, new TIKey{Op=[89], M="π", S=StatementSyntax.a});</v>
      </c>
    </row>
    <row r="92" spans="1:8" x14ac:dyDescent="0.25">
      <c r="A92" t="s">
        <v>89</v>
      </c>
      <c r="B92" s="7" t="s">
        <v>200</v>
      </c>
      <c r="C92" t="s">
        <v>172</v>
      </c>
      <c r="D92" s="3" t="b">
        <v>1</v>
      </c>
      <c r="G92" t="str" cm="1">
        <f t="array" ref="G92">Vocab(A92,B92)</f>
        <v>I90_list: 'List' | 'LST';</v>
      </c>
      <c r="H92" t="str" cm="1">
        <f t="array" ref="H92">TIKeys(A92:E92)</f>
        <v>TIKeys.Add(Vocab.I90_list, new TIKey{Op=[90], M="List", S=StatementSyntax.a, I=true});</v>
      </c>
    </row>
    <row r="93" spans="1:8" x14ac:dyDescent="0.25">
      <c r="A93" t="s">
        <v>80</v>
      </c>
      <c r="B93" s="7" t="s">
        <v>139</v>
      </c>
      <c r="C93" t="s">
        <v>172</v>
      </c>
      <c r="G93" t="str" cm="1">
        <f t="array" ref="G93">Vocab(A93,B93)</f>
        <v>I91_run_stop: 'R/S';</v>
      </c>
      <c r="H93" t="str" cm="1">
        <f t="array" ref="H93">TIKeys(A93:E93)</f>
        <v>TIKeys.Add(Vocab.I91_run_stop, new TIKey{Op=[91], M="R/S", S=StatementSyntax.a});</v>
      </c>
    </row>
    <row r="94" spans="1:8" x14ac:dyDescent="0.25">
      <c r="A94" t="s">
        <v>81</v>
      </c>
      <c r="B94" s="7" t="s">
        <v>140</v>
      </c>
      <c r="C94" t="s">
        <v>172</v>
      </c>
      <c r="G94" t="str" cm="1">
        <f t="array" ref="G94">Vocab(A94,B94)</f>
        <v>I92_return: 'RTN';</v>
      </c>
      <c r="H94" t="str" cm="1">
        <f t="array" ref="H94">TIKeys(A94:E94)</f>
        <v>TIKeys.Add(Vocab.I92_return, new TIKey{Op=[92], M="RTN", S=StatementSyntax.a});</v>
      </c>
    </row>
    <row r="95" spans="1:8" x14ac:dyDescent="0.25">
      <c r="A95" t="s">
        <v>82</v>
      </c>
      <c r="B95" s="7" t="s">
        <v>141</v>
      </c>
      <c r="C95" t="s">
        <v>172</v>
      </c>
      <c r="G95" t="str" cm="1">
        <f t="array" ref="G95">Vocab(A95,B95)</f>
        <v>I93_dot: '.';</v>
      </c>
      <c r="H95" t="str" cm="1">
        <f t="array" ref="H95">TIKeys(A95:E95)</f>
        <v>TIKeys.Add(Vocab.I93_dot, new TIKey{Op=[93], M=".", S=StatementSyntax.a});</v>
      </c>
    </row>
    <row r="96" spans="1:8" x14ac:dyDescent="0.25">
      <c r="A96" t="s">
        <v>83</v>
      </c>
      <c r="B96" s="7" t="s">
        <v>142</v>
      </c>
      <c r="C96" t="s">
        <v>172</v>
      </c>
      <c r="G96" t="str" cm="1">
        <f t="array" ref="G96">Vocab(A96,B96)</f>
        <v>I94_change_sign: '+/-';</v>
      </c>
      <c r="H96" t="str" cm="1">
        <f t="array" ref="H96">TIKeys(A96:E96)</f>
        <v>TIKeys.Add(Vocab.I94_change_sign, new TIKey{Op=[94], M="+/-", S=StatementSyntax.a});</v>
      </c>
    </row>
    <row r="97" spans="1:8" x14ac:dyDescent="0.25">
      <c r="A97" t="s">
        <v>84</v>
      </c>
      <c r="B97" s="7" t="s">
        <v>143</v>
      </c>
      <c r="C97" t="s">
        <v>172</v>
      </c>
      <c r="G97" t="str" cm="1">
        <f t="array" ref="G97">Vocab(A97,B97)</f>
        <v>I95_equals: '=';</v>
      </c>
      <c r="H97" t="str" cm="1">
        <f t="array" ref="H97">TIKeys(A97:E97)</f>
        <v>TIKeys.Add(Vocab.I95_equals, new TIKey{Op=[95], M="=", S=StatementSyntax.a});</v>
      </c>
    </row>
    <row r="98" spans="1:8" x14ac:dyDescent="0.25">
      <c r="A98" t="s">
        <v>85</v>
      </c>
      <c r="B98" s="7" t="s">
        <v>201</v>
      </c>
      <c r="C98" t="s">
        <v>172</v>
      </c>
      <c r="D98" s="3" t="b">
        <v>1</v>
      </c>
      <c r="G98" t="str" cm="1">
        <f t="array" ref="G98">Vocab(A98,B98)</f>
        <v>I96_write: 'Write' | 'Wrt';</v>
      </c>
      <c r="H98" t="str" cm="1">
        <f t="array" ref="H98">TIKeys(A98:E98)</f>
        <v>TIKeys.Add(Vocab.I96_write, new TIKey{Op=[96], M="Write", S=StatementSyntax.a, I=true});</v>
      </c>
    </row>
    <row r="99" spans="1:8" x14ac:dyDescent="0.25">
      <c r="A99" t="s">
        <v>86</v>
      </c>
      <c r="B99" s="7" t="s">
        <v>144</v>
      </c>
      <c r="C99" t="s">
        <v>184</v>
      </c>
      <c r="D99" s="3" t="b">
        <v>1</v>
      </c>
      <c r="G99" t="str" cm="1">
        <f t="array" ref="G99">Vocab(A99,B99)</f>
        <v>I97_dsz: 'Dsz';</v>
      </c>
      <c r="H99" t="str" cm="1">
        <f t="array" ref="H99">TIKeys(A99:E99)</f>
        <v>TIKeys.Add(Vocab.I97_dsz, new TIKey{Op=[97], M="Dsz", S=StatementSyntax.dib, I=true});</v>
      </c>
    </row>
    <row r="100" spans="1:8" x14ac:dyDescent="0.25">
      <c r="A100" t="s">
        <v>87</v>
      </c>
      <c r="B100" s="7" t="s">
        <v>145</v>
      </c>
      <c r="C100" t="s">
        <v>172</v>
      </c>
      <c r="D100" s="6"/>
      <c r="F100" s="1"/>
      <c r="G100" t="str" cm="1">
        <f t="array" ref="G100">Vocab(A100,B100)</f>
        <v>I98_advance: 'Adv';</v>
      </c>
      <c r="H100" t="str" cm="1">
        <f t="array" ref="H100">TIKeys(A100:E100)</f>
        <v>TIKeys.Add(Vocab.I98_advance, new TIKey{Op=[98], M="Adv", S=StatementSyntax.a});</v>
      </c>
    </row>
    <row r="101" spans="1:8" x14ac:dyDescent="0.25">
      <c r="A101" t="s">
        <v>88</v>
      </c>
      <c r="B101" s="7" t="s">
        <v>146</v>
      </c>
      <c r="C101" t="s">
        <v>172</v>
      </c>
      <c r="G101" t="str" cm="1">
        <f t="array" ref="G101">Vocab(A101,B101)</f>
        <v>I99_print: 'Prt';</v>
      </c>
      <c r="H101" t="str" cm="1">
        <f t="array" ref="H101">TIKeys(A101:E101)</f>
        <v>TIKeys.Add(Vocab.I99_print, new TIKey{Op=[99], M="Prt", S=StatementSyntax.a});</v>
      </c>
    </row>
    <row r="102" spans="1:8" x14ac:dyDescent="0.25">
      <c r="G102" t="str" cm="1">
        <f t="array" ref="G102">Vocab(A102,B102)</f>
        <v/>
      </c>
      <c r="H102" t="str" cm="1">
        <f t="array" ref="H102">TIKeys(A102:E102)</f>
        <v/>
      </c>
    </row>
    <row r="103" spans="1:8" x14ac:dyDescent="0.25">
      <c r="A103" t="s">
        <v>186</v>
      </c>
      <c r="B103" s="7" t="s">
        <v>202</v>
      </c>
      <c r="C103" t="s">
        <v>172</v>
      </c>
      <c r="G103" t="str" cm="1">
        <f t="array" ref="G103">Vocab(A103,B103)</f>
        <v>I2223_e_power_x: 'eˣ' | 'e^x';</v>
      </c>
      <c r="H103" t="str" cm="1">
        <f t="array" ref="H103">TIKeys(A103:E103)</f>
        <v>TIKeys.Add(Vocab.I2223_e_power_x, new TIKey{Op=[22,23], M="eˣ", S=StatementSyntax.a});</v>
      </c>
    </row>
    <row r="104" spans="1:8" x14ac:dyDescent="0.25">
      <c r="A104" t="s">
        <v>187</v>
      </c>
      <c r="B104" s="7" t="s">
        <v>203</v>
      </c>
      <c r="C104" t="s">
        <v>172</v>
      </c>
      <c r="G104" t="str" cm="1">
        <f t="array" ref="G104">Vocab(A104,B104)</f>
        <v>I2228_10_power_x: '10ˣ' | '10^x';</v>
      </c>
      <c r="H104" t="str" cm="1">
        <f t="array" ref="H104">TIKeys(A104:E104)</f>
        <v>TIKeys.Add(Vocab.I2228_10_power_x, new TIKey{Op=[22,28], M="10ˣ", S=StatementSyntax.a});</v>
      </c>
    </row>
    <row r="105" spans="1:8" x14ac:dyDescent="0.25">
      <c r="A105" t="s">
        <v>188</v>
      </c>
      <c r="B105" s="7" t="s">
        <v>189</v>
      </c>
      <c r="C105" t="s">
        <v>174</v>
      </c>
      <c r="D105" s="3" t="b">
        <v>1</v>
      </c>
      <c r="G105" t="str" cm="1">
        <f t="array" ref="G105">Vocab(A105,B105)</f>
        <v>I6740_x_equals_t_indirect: 'EQ*';</v>
      </c>
      <c r="H105" t="str" cm="1">
        <f t="array" ref="H105">TIKeys(A105:E105)</f>
        <v>TIKeys.Add(Vocab.I6740_x_equals_t_indirect, new TIKey{Op=[67,40], M="EQ*", S=StatementSyntax.i, I=true});</v>
      </c>
    </row>
    <row r="106" spans="1:8" x14ac:dyDescent="0.25">
      <c r="A106" t="s">
        <v>190</v>
      </c>
      <c r="B106" s="7" t="s">
        <v>191</v>
      </c>
      <c r="C106" t="s">
        <v>174</v>
      </c>
      <c r="D106" s="3" t="b">
        <v>1</v>
      </c>
      <c r="G106" t="str" cm="1">
        <f t="array" ref="G106">Vocab(A106,B106)</f>
        <v>I7740_x_greater_or_equal_than_t_indirect: 'GE*';</v>
      </c>
      <c r="H106" t="str" cm="1">
        <f t="array" ref="H106">TIKeys(A106:E106)</f>
        <v>TIKeys.Add(Vocab.I7740_x_greater_or_equal_than_t_indirect, new TIKey{Op=[77,40], M="GE*", S=StatementSyntax.i, I=true});</v>
      </c>
    </row>
  </sheetData>
  <autoFilter ref="A1:E101" xr:uid="{740F8AED-F224-4E04-9363-190526C87892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492D3-5B2F-473F-BBC5-869C1AD47028}">
  <sheetPr codeName="Sheet2"/>
  <dimension ref="A3:B14"/>
  <sheetViews>
    <sheetView workbookViewId="0">
      <selection activeCell="A8" sqref="A8:B8"/>
      <pivotSelection pane="bottomRight" showHeader="1" extendable="1" axis="axisRow" start="4" max="11" activeRow="7" previousRow="7" click="1" r:id="rId1">
        <pivotArea dataOnly="0" fieldPosition="0">
          <references count="1">
            <reference field="3" count="1">
              <x v="4"/>
            </reference>
          </references>
        </pivotArea>
      </pivotSelection>
    </sheetView>
  </sheetViews>
  <sheetFormatPr defaultRowHeight="15" x14ac:dyDescent="0.25"/>
  <cols>
    <col min="1" max="1" width="25.5703125" bestFit="1" customWidth="1"/>
    <col min="2" max="2" width="20" bestFit="1" customWidth="1"/>
  </cols>
  <sheetData>
    <row r="3" spans="1:2" x14ac:dyDescent="0.25">
      <c r="A3" s="2" t="s">
        <v>169</v>
      </c>
      <c r="B3" t="s">
        <v>171</v>
      </c>
    </row>
    <row r="4" spans="1:2" x14ac:dyDescent="0.25">
      <c r="A4" s="3" t="s">
        <v>148</v>
      </c>
      <c r="B4">
        <v>67</v>
      </c>
    </row>
    <row r="5" spans="1:2" x14ac:dyDescent="0.25">
      <c r="A5" s="3" t="s">
        <v>151</v>
      </c>
      <c r="B5">
        <v>8</v>
      </c>
    </row>
    <row r="6" spans="1:2" x14ac:dyDescent="0.25">
      <c r="A6" s="3" t="s">
        <v>168</v>
      </c>
      <c r="B6">
        <v>1</v>
      </c>
    </row>
    <row r="7" spans="1:2" x14ac:dyDescent="0.25">
      <c r="A7" s="3" t="s">
        <v>165</v>
      </c>
      <c r="B7">
        <v>1</v>
      </c>
    </row>
    <row r="8" spans="1:2" x14ac:dyDescent="0.25">
      <c r="A8" s="3" t="s">
        <v>150</v>
      </c>
      <c r="B8">
        <v>4</v>
      </c>
    </row>
    <row r="9" spans="1:2" x14ac:dyDescent="0.25">
      <c r="A9" s="3" t="s">
        <v>152</v>
      </c>
      <c r="B9">
        <v>1</v>
      </c>
    </row>
    <row r="10" spans="1:2" x14ac:dyDescent="0.25">
      <c r="A10" s="3" t="s">
        <v>166</v>
      </c>
      <c r="B10">
        <v>7</v>
      </c>
    </row>
    <row r="11" spans="1:2" x14ac:dyDescent="0.25">
      <c r="A11" s="3" t="s">
        <v>167</v>
      </c>
      <c r="B11">
        <v>2</v>
      </c>
    </row>
    <row r="12" spans="1:2" x14ac:dyDescent="0.25">
      <c r="A12" s="3" t="s">
        <v>153</v>
      </c>
      <c r="B12">
        <v>1</v>
      </c>
    </row>
    <row r="13" spans="1:2" x14ac:dyDescent="0.25">
      <c r="A13" s="3" t="s">
        <v>149</v>
      </c>
      <c r="B13">
        <v>8</v>
      </c>
    </row>
    <row r="14" spans="1:2" x14ac:dyDescent="0.25">
      <c r="A14" s="3" t="s">
        <v>170</v>
      </c>
      <c r="B14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 table</vt:lpstr>
      <vt:lpstr>TC Count per Syntax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Violent</dc:creator>
  <cp:lastModifiedBy>Pierre Violent</cp:lastModifiedBy>
  <dcterms:created xsi:type="dcterms:W3CDTF">2025-11-15T10:54:13Z</dcterms:created>
  <dcterms:modified xsi:type="dcterms:W3CDTF">2025-12-02T22:56:32Z</dcterms:modified>
</cp:coreProperties>
</file>